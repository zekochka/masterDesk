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eaa7b1b6c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c9e98c5789f4558"/>
    <x:sheet xmlns:r="http://schemas.openxmlformats.org/officeDocument/2006/relationships" name="Budget12" sheetId="2" r:id="Re5f281e14e0442ab"/>
    <x:sheet xmlns:r="http://schemas.openxmlformats.org/officeDocument/2006/relationships" name="UnitEconomics" sheetId="3" r:id="R27830da053374066"/>
    <x:sheet xmlns:r="http://schemas.openxmlformats.org/officeDocument/2006/relationships" name="Hosting36" sheetId="4" r:id="Rb90b242aa0ee4913"/>
    <x:sheet xmlns:r="http://schemas.openxmlformats.org/officeDocument/2006/relationships" name="SLO_ErrorBudget" sheetId="5" r:id="R19d470cc093243d9"/>
    <x:sheet xmlns:r="http://schemas.openxmlformats.org/officeDocument/2006/relationships" name="Sources" sheetId="6" r:id="R7b331965e5f6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;[Red](#,##0.00);-"/>
    <x:numFmt numFmtId="202" formatCode="0.0%;[Red](0.0%);-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7324D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8577A"/>
      </x:patternFill>
    </x:fill>
    <x:fill>
      <x:patternFill patternType="solid">
        <x:fgColor rgb="FFFFF2BE"/>
      </x:patternFill>
    </x:fill>
    <x:fill>
      <x:patternFill patternType="solid">
        <x:fgColor rgb="FFEAF1F7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0" fontId="6" fillId="5" borderId="0" xfId="0" applyNumberFormat="1" applyFont="1" applyFill="1" applyBorder="1"/>
    <x:xf numFmtId="200" fontId="4" fillId="5" borderId="0" xfId="0" applyNumberFormat="1" applyFont="1" applyFill="1" applyBorder="1"/>
    <x:xf numFmtId="200" fontId="6" fillId="5" borderId="1" xfId="0" applyNumberFormat="1" applyFont="1" applyFill="1" applyBorder="1"/>
    <x:xf numFmtId="200" fontId="4" fillId="5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6" fillId="5" borderId="0" xfId="0" applyNumberFormat="1" applyFont="1" applyFill="1" applyBorder="1"/>
    <x:xf numFmtId="201" fontId="4" fillId="5" borderId="0" xfId="0" applyNumberFormat="1" applyFont="1" applyFill="1" applyBorder="1"/>
    <x:xf numFmtId="201" fontId="6" fillId="5" borderId="1" xfId="0" applyNumberFormat="1" applyFont="1" applyFill="1" applyBorder="1"/>
    <x:xf numFmtId="201" fontId="4" fillId="5" borderId="1" xfId="0" applyNumberFormat="1" applyFont="1" applyFill="1" applyBorder="1"/>
    <x:xf numFmtId="202" fontId="6" fillId="5" borderId="0" xfId="0" applyNumberFormat="1" applyFont="1" applyFill="1" applyBorder="1"/>
    <x:xf numFmtId="202" fontId="4" fillId="5" borderId="0" xfId="0" applyNumberFormat="1" applyFont="1" applyFill="1" applyBorder="1"/>
    <x:xf numFmtId="202" fontId="6" fillId="5" borderId="1" xfId="0" applyNumberFormat="1" applyFont="1" applyFill="1" applyBorder="1"/>
    <x:xf numFmtId="202" fontId="4" fillId="5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272c0a18a4d36" /><Relationship Type="http://schemas.openxmlformats.org/officeDocument/2006/relationships/theme" Target="/xl/theme/theme1.xml" Id="R9a37bccb022c41b7" /><Relationship Type="http://schemas.openxmlformats.org/officeDocument/2006/relationships/sharedStrings" Target="/xl/sharedStrings.xml" Id="Rcb533e6e10704f1a" /><Relationship Type="http://schemas.openxmlformats.org/officeDocument/2006/relationships/worksheet" Target="/xl/worksheets/sheet1.xml" Id="Rec9e98c5789f4558" /><Relationship Type="http://schemas.openxmlformats.org/officeDocument/2006/relationships/worksheet" Target="/xl/worksheets/sheet2.xml" Id="Re5f281e14e0442ab" /><Relationship Type="http://schemas.openxmlformats.org/officeDocument/2006/relationships/worksheet" Target="/xl/worksheets/sheet3.xml" Id="R27830da053374066" /><Relationship Type="http://schemas.openxmlformats.org/officeDocument/2006/relationships/worksheet" Target="/xl/worksheets/sheet4.xml" Id="Rb90b242aa0ee4913" /><Relationship Type="http://schemas.openxmlformats.org/officeDocument/2006/relationships/worksheet" Target="/xl/worksheets/sheet5.xml" Id="R19d470cc093243d9" /><Relationship Type="http://schemas.openxmlformats.org/officeDocument/2006/relationships/worksheet" Target="/xl/worksheets/sheet6.xml" Id="R7b331965e5f6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54" hidden="0" customWidth="1"/>
  </x:cols>
  <x:sheetData>
    <x:row r="1" ht="30" customHeight="1">
      <x:c r="A1" s="4" t="str">
        <x:v>MASTERDESK | Есептік параметрлер және дереккөздер</x:v>
      </x:c>
      <x:c r="B1" s="4"/>
      <x:c r="C1" s="4"/>
      <x:c r="D1" s="4"/>
    </x:row>
    <x:row r="3" ht="26" customHeight="1">
      <x:c r="A3" s="11" t="str">
        <x:v>Параметр</x:v>
      </x:c>
      <x:c r="B3" s="11" t="str">
        <x:v>Мән</x:v>
      </x:c>
      <x:c r="C3" s="11" t="str">
        <x:v>Бірлік</x:v>
      </x:c>
      <x:c r="D3" s="11" t="str">
        <x:v>Дереккөз / мәртебе</x:v>
      </x:c>
    </x:row>
    <x:row r="4">
      <x:c r="A4" t="str">
        <x:v>Айлық жөндеу тапсырысы</x:v>
      </x:c>
      <x:c r="B4" s="20" t="n">
        <x:v>260</x:v>
      </x:c>
      <x:c r="C4" t="str">
        <x:v>дана/ай</x:v>
      </x:c>
      <x:c r="D4" t="str">
        <x:v>ЛЗ 3; TechPoint өлшемі емес</x:v>
      </x:c>
    </x:row>
    <x:row r="5">
      <x:c r="A5" t="str">
        <x:v>Белсенді қызметкер</x:v>
      </x:c>
      <x:c r="B5" s="20" t="n">
        <x:v>5</x:v>
      </x:c>
      <x:c r="C5" t="str">
        <x:v>адам</x:v>
      </x:c>
      <x:c r="D5" t="str">
        <x:v>ЛЗ 3 — оқу болжамы</x:v>
      </x:c>
    </x:row>
    <x:row r="6">
      <x:c r="A6" t="str">
        <x:v>Қолмен тіркеу уақыты</x:v>
      </x:c>
      <x:c r="B6" s="20" t="n">
        <x:v>18</x:v>
      </x:c>
      <x:c r="C6" t="str">
        <x:v>мин/тапсырыс</x:v>
      </x:c>
      <x:c r="D6" t="str">
        <x:v>ЛЗ 3 — гипотеза</x:v>
      </x:c>
    </x:row>
    <x:row r="7">
      <x:c r="A7" t="str">
        <x:v>MasterDesk тіркеу уақыты</x:v>
      </x:c>
      <x:c r="B7" s="20" t="n">
        <x:v>7</x:v>
      </x:c>
      <x:c r="C7" t="str">
        <x:v>мин/тапсырыс</x:v>
      </x:c>
      <x:c r="D7" t="str">
        <x:v>ЛЗ 3 — мақсат</x:v>
      </x:c>
    </x:row>
    <x:row r="8">
      <x:c r="A8" t="str">
        <x:v>Қызметкер жалақысы</x:v>
      </x:c>
      <x:c r="B8" s="20" t="n">
        <x:v>300000</x:v>
      </x:c>
      <x:c r="C8" t="str">
        <x:v>₸/ай</x:v>
      </x:c>
      <x:c r="D8" t="str">
        <x:v>ЛЗ 3 — үлгі</x:v>
      </x:c>
    </x:row>
    <x:row r="9">
      <x:c r="A9" t="str">
        <x:v>Айлық жұмыс сағаты</x:v>
      </x:c>
      <x:c r="B9" s="20" t="n">
        <x:v>168</x:v>
      </x:c>
      <x:c r="C9" t="str">
        <x:v>сағ</x:v>
      </x:c>
      <x:c r="D9" t="str">
        <x:v>ЛЗ 3 — үлгі</x:v>
      </x:c>
    </x:row>
    <x:row r="10">
      <x:c r="A10" t="str">
        <x:v>Жұмыс беруші жүктемесі</x:v>
      </x:c>
      <x:c r="B10" s="22" t="n">
        <x:v>1.12</x:v>
      </x:c>
      <x:c r="C10" t="str">
        <x:v>коэффициент</x:v>
      </x:c>
      <x:c r="D10" t="str">
        <x:v>ЛЗ 3 — үлгі</x:v>
      </x:c>
    </x:row>
    <x:row r="11">
      <x:c r="A11" t="str">
        <x:v>Уақыттың пайдалы үлесі</x:v>
      </x:c>
      <x:c r="B11" s="24" t="n">
        <x:v>0.8</x:v>
      </x:c>
      <x:c r="C11" t="str">
        <x:v>үлес</x:v>
      </x:c>
      <x:c r="D11" t="str">
        <x:v>ЛЗ 3 — үлгі</x:v>
      </x:c>
    </x:row>
    <x:row r="12">
      <x:c r="A12" t="str">
        <x:v>Бастапқы әзірлеу және енгізу</x:v>
      </x:c>
      <x:c r="B12" s="20" t="n">
        <x:v>825000</x:v>
      </x:c>
      <x:c r="C12" t="str">
        <x:v>₸</x:v>
      </x:c>
      <x:c r="D12" t="str">
        <x:v>ЛЗ 3; 725k+50k+35k+15k</x:v>
      </x:c>
    </x:row>
    <x:row r="13">
      <x:c r="A13" t="str">
        <x:v>Hoster VPS Cloud 2-4-50</x:v>
      </x:c>
      <x:c r="B13" s="20" t="n">
        <x:v>7600</x:v>
      </x:c>
      <x:c r="C13" t="str">
        <x:v>₸/ай</x:v>
      </x:c>
      <x:c r="D13" t="str">
        <x:v>hoster.kz/cloud/vps/ (20.10.2026)</x:v>
      </x:c>
    </x:row>
    <x:row r="14">
      <x:c r="A14" t="str">
        <x:v>Backup сақтау және репетиция</x:v>
      </x:c>
      <x:c r="B14" s="20" t="n">
        <x:v>1800</x:v>
      </x:c>
      <x:c r="C14" t="str">
        <x:v>₸/ай</x:v>
      </x:c>
      <x:c r="D14" t="str">
        <x:v>Модельдік болжам; жеткізуші бағасы емес</x:v>
      </x:c>
    </x:row>
    <x:row r="15">
      <x:c r="A15" t="str">
        <x:v>Домен + DNS</x:v>
      </x:c>
      <x:c r="B15" s="20" t="n">
        <x:v>5600</x:v>
      </x:c>
      <x:c r="C15" t="str">
        <x:v>₸/жыл</x:v>
      </x:c>
      <x:c r="D15" t="str">
        <x:v>Модельдік болжам; жеткізуші бағасы емес</x:v>
      </x:c>
    </x:row>
    <x:row r="16">
      <x:c r="A16" t="str">
        <x:v>Техникалық қолдау</x:v>
      </x:c>
      <x:c r="B16" s="20" t="n">
        <x:v>4</x:v>
      </x:c>
      <x:c r="C16" t="str">
        <x:v>сағ/ай</x:v>
      </x:c>
      <x:c r="D16" t="str">
        <x:v>ЛЗ 3 — 4 сағ/ай</x:v>
      </x:c>
    </x:row>
    <x:row r="17">
      <x:c r="A17" t="str">
        <x:v>Қолдау сағатының құны</x:v>
      </x:c>
      <x:c r="B17" s="20" t="n">
        <x:v>3500</x:v>
      </x:c>
      <x:c r="C17" t="str">
        <x:v>₸/сағ</x:v>
      </x:c>
      <x:c r="D17" t="str">
        <x:v>Модельдік болжам; жылдық 286 400 ₸-ке үйлестіру</x:v>
      </x:c>
    </x:row>
    <x:row r="18">
      <x:c r="A18" t="str">
        <x:v>Бірінші жыл әсер коэффициенті</x:v>
      </x:c>
      <x:c r="B18" s="24" t="n">
        <x:v>0.75</x:v>
      </x:c>
      <x:c r="C18" t="str">
        <x:v>үлес</x:v>
      </x:c>
      <x:c r="D18" t="str">
        <x:v>ЛЗ 3 — 75%</x:v>
      </x:c>
    </x:row>
    <x:row r="19">
      <x:c r="A19" t="str">
        <x:v>Айдағы қызмет көрсету уақыты</x:v>
      </x:c>
      <x:c r="B19" s="20" t="n">
        <x:v>312</x:v>
      </x:c>
      <x:c r="C19" t="str">
        <x:v>сағ/ай</x:v>
      </x:c>
      <x:c r="D19" t="str">
        <x:v>26 күн × 12 сағ: бекітілмеген болжам</x:v>
      </x:c>
    </x:row>
    <x:row r="20">
      <x:c r="A20" t="str">
        <x:v>Тұтастай SLO (жұмыс уақыты)</x:v>
      </x:c>
      <x:c r="B20" s="24" t="n">
        <x:v>0.995</x:v>
      </x:c>
      <x:c r="C20" t="str">
        <x:v>үлес</x:v>
      </x:c>
      <x:c r="D20" t="str">
        <x:v>ЛЗ 8 ұсынысы, өлшенбеген</x:v>
      </x:c>
    </x:row>
    <x:row r="21">
      <x:c r="A21" t="str">
        <x:v>Тұтастай SLA (жұмыс уақыты)</x:v>
      </x:c>
      <x:c r="B21" s="24" t="n">
        <x:v>0.99</x:v>
      </x:c>
      <x:c r="C21" t="str">
        <x:v>үлес</x:v>
      </x:c>
      <x:c r="D21" t="str">
        <x:v>ЛЗ 8 ұсынысы, SLO-дан жұмсақ</x:v>
      </x:c>
    </x:row>
    <x:row r="22">
      <x:c r="A22" t="str">
        <x:v>Есептеу көкжиегі</x:v>
      </x:c>
      <x:c r="B22" s="20" t="n">
        <x:v>3</x:v>
      </x:c>
      <x:c r="C22" t="str">
        <x:v>жыл</x:v>
      </x:c>
      <x:c r="D22" t="str">
        <x:v>ЛЗ 3 — 2027–2029</x:v>
      </x:c>
    </x:row>
    <x:row r="23">
      <x:c r="A23" t="str">
        <x:v>Статус өзгерістері / тапсырыс</x:v>
      </x:c>
      <x:c r="B23" s="20" t="n">
        <x:v>2</x:v>
      </x:c>
      <x:c r="C23" t="str">
        <x:v>рет</x:v>
      </x:c>
      <x:c r="D23" t="str">
        <x:v>Модельдік болжам</x:v>
      </x:c>
    </x:row>
    <x:row r="24">
      <x:c r="A24" t="str">
        <x:v>Іздеу саны / тапсырыс</x:v>
      </x:c>
      <x:c r="B24" s="20" t="n">
        <x:v>4</x:v>
      </x:c>
      <x:c r="C24" t="str">
        <x:v>рет</x:v>
      </x:c>
      <x:c r="D24" t="str">
        <x:v>Модельдік болжам</x:v>
      </x:c>
    </x:row>
    <x:row r="25" ht="22" customHeight="1">
      <x:c r="A25" s="27" t="str">
        <x:v>АЛЬТЕРНАТИВТІК ОРНАЛАСТЫРУ ПАРАМЕТРЛЕРІ</x:v>
      </x:c>
      <x:c r="B25" s="27"/>
      <x:c r="C25" s="27"/>
      <x:c r="D25" s="27"/>
    </x:row>
    <x:row r="27">
      <x:c r="A27" t="str">
        <x:v>CloudApps бір vCPU</x:v>
      </x:c>
      <x:c r="B27" s="20" t="n">
        <x:v>1990</x:v>
      </x:c>
      <x:c r="C27" t="str">
        <x:v>₸/ай</x:v>
      </x:c>
      <x:c r="D27" t="str">
        <x:v>cloudapps.kz/kalkulyator-resursov/ (20.10.2026)</x:v>
      </x:c>
    </x:row>
    <x:row r="28">
      <x:c r="A28" t="str">
        <x:v>CloudApps бір GB RAM</x:v>
      </x:c>
      <x:c r="B28" s="20" t="n">
        <x:v>2330</x:v>
      </x:c>
      <x:c r="C28" t="str">
        <x:v>₸/ай</x:v>
      </x:c>
      <x:c r="D28" t="str">
        <x:v>cloudapps.kz/kalkulyator-resursov/ (20.10.2026)</x:v>
      </x:c>
    </x:row>
    <x:row r="29">
      <x:c r="A29" t="str">
        <x:v>CloudApps бір GB NVMe</x:v>
      </x:c>
      <x:c r="B29" s="20" t="n">
        <x:v>162</x:v>
      </x:c>
      <x:c r="C29" t="str">
        <x:v>₸/ай</x:v>
      </x:c>
      <x:c r="D29" t="str">
        <x:v>cloudapps.kz/kalkulyator-resursov/ (20.10.2026)</x:v>
      </x:c>
    </x:row>
    <x:row r="30">
      <x:c r="A30" t="str">
        <x:v>CloudApps vCPU саны</x:v>
      </x:c>
      <x:c r="B30" s="20" t="n">
        <x:v>2</x:v>
      </x:c>
      <x:c r="C30" t="str">
        <x:v>ядро</x:v>
      </x:c>
      <x:c r="D30" t="str">
        <x:v>Салыстыруға алынған конфигурация</x:v>
      </x:c>
    </x:row>
    <x:row r="31">
      <x:c r="A31" t="str">
        <x:v>CloudApps RAM көлемі</x:v>
      </x:c>
      <x:c r="B31" s="20" t="n">
        <x:v>4</x:v>
      </x:c>
      <x:c r="C31" t="str">
        <x:v>GB</x:v>
      </x:c>
      <x:c r="D31" t="str">
        <x:v>Салыстыруға алынған конфигурация</x:v>
      </x:c>
    </x:row>
    <x:row r="32">
      <x:c r="A32" t="str">
        <x:v>CloudApps NVMe көлемі</x:v>
      </x:c>
      <x:c r="B32" s="20" t="n">
        <x:v>50</x:v>
      </x:c>
      <x:c r="C32" t="str">
        <x:v>GB</x:v>
      </x:c>
      <x:c r="D32" t="str">
        <x:v>Салыстыруға алынған конфигурация</x:v>
      </x:c>
    </x:row>
    <x:row r="33" ht="22" customHeight="1">
      <x:c r="A33" s="27" t="str">
        <x:v>ЖЕРГІЛІКТІ СЕРВЕР ҮШІН ЕНГІЗІЛГЕН ЕСЕПТІК БАҒАЛАР</x:v>
      </x:c>
      <x:c r="B33" s="27"/>
      <x:c r="C33" s="27"/>
      <x:c r="D33" s="27"/>
    </x:row>
    <x:row r="35">
      <x:c r="A35" t="str">
        <x:v>Own-server жабдық</x:v>
      </x:c>
      <x:c r="B35" s="20" t="n">
        <x:v>320000</x:v>
      </x:c>
      <x:c r="C35" t="str">
        <x:v>₸</x:v>
      </x:c>
      <x:c r="D35" t="str">
        <x:v>Жоспарлық нарықтық бағалау</x:v>
      </x:c>
    </x:row>
    <x:row r="36">
      <x:c r="A36" t="str">
        <x:v>UPS</x:v>
      </x:c>
      <x:c r="B36" s="20" t="n">
        <x:v>45000</x:v>
      </x:c>
      <x:c r="C36" t="str">
        <x:v>₸</x:v>
      </x:c>
      <x:c r="D36" t="str">
        <x:v>Жоспарлық нарықтық бағалау</x:v>
      </x:c>
    </x:row>
    <x:row r="37">
      <x:c r="A37" t="str">
        <x:v>Қосымша backup дискі</x:v>
      </x:c>
      <x:c r="B37" s="20" t="n">
        <x:v>25000</x:v>
      </x:c>
      <x:c r="C37" t="str">
        <x:v>₸</x:v>
      </x:c>
      <x:c r="D37" t="str">
        <x:v>Жоспарлық нарықтық бағалау</x:v>
      </x:c>
    </x:row>
    <x:row r="38">
      <x:c r="A38" t="str">
        <x:v>Өз серверін іске қосу</x:v>
      </x:c>
      <x:c r="B38" s="20" t="n">
        <x:v>30000</x:v>
      </x:c>
      <x:c r="C38" t="str">
        <x:v>₸</x:v>
      </x:c>
      <x:c r="D38" t="str">
        <x:v>Жоспарлық еңбек құны</x:v>
      </x:c>
    </x:row>
    <x:row r="39">
      <x:c r="A39" t="str">
        <x:v>Өз сервері электрі</x:v>
      </x:c>
      <x:c r="B39" s="20" t="n">
        <x:v>3500</x:v>
      </x:c>
      <x:c r="C39" t="str">
        <x:v>₸/ай</x:v>
      </x:c>
      <x:c r="D39" t="str">
        <x:v>Жоспарлық бағалау</x:v>
      </x:c>
    </x:row>
    <x:row r="40">
      <x:c r="A40" t="str">
        <x:v>Өз сервері интернеті</x:v>
      </x:c>
      <x:c r="B40" s="20" t="n">
        <x:v>5500</x:v>
      </x:c>
      <x:c r="C40" t="str">
        <x:v>₸/ай</x:v>
      </x:c>
      <x:c r="D40" t="str">
        <x:v>Жоспарлық қосымша тариф</x:v>
      </x:c>
    </x:row>
    <x:row r="41">
      <x:c r="A41" t="str">
        <x:v>Өз сервері backup</x:v>
      </x:c>
      <x:c r="B41" s="20" t="n">
        <x:v>1000</x:v>
      </x:c>
      <x:c r="C41" t="str">
        <x:v>₸/ай</x:v>
      </x:c>
      <x:c r="D41" t="str">
        <x:v>Жоспарлық бағалау</x:v>
      </x:c>
    </x:row>
    <x:row r="42">
      <x:c r="A42" t="str">
        <x:v>TechPoint серверін іске қосу</x:v>
      </x:c>
      <x:c r="B42" s="20" t="n">
        <x:v>30000</x:v>
      </x:c>
      <x:c r="C42" t="str">
        <x:v>₸</x:v>
      </x:c>
      <x:c r="D42" t="str">
        <x:v>Бар сервер бар деп болжанды</x:v>
      </x:c>
    </x:row>
    <x:row r="43">
      <x:c r="A43" t="str">
        <x:v>TechPoint ресурс үлесі</x:v>
      </x:c>
      <x:c r="B43" s="20" t="n">
        <x:v>1800</x:v>
      </x:c>
      <x:c r="C43" t="str">
        <x:v>₸/ай</x:v>
      </x:c>
      <x:c r="D43" t="str">
        <x:v>Техникалық шығын аллокациясы</x:v>
      </x:c>
    </x:row>
    <x:row r="45">
      <x:c r="A45" t="str">
        <x:v>Ескерту</x:v>
      </x:c>
      <x:c r="B45" s="30" t="str">
        <x:v>Сары ұяшықтар — өзгертілетін кіріс деректер</x:v>
      </x:c>
      <x:c r="C45" s="30" t="str"/>
      <x:c r="D45" s="30" t="str"/>
    </x:row>
    <x:row r="46">
      <x:c r="A46" t="str">
        <x:v>Нәтижелер</x:v>
      </x:c>
      <x:c r="B46" s="30" t="str">
        <x:v>Нақты келісімшарт/шот-фактура емес; TechPoint растаған жоқ</x:v>
      </x:c>
      <x:c r="C46" s="30" t="str"/>
      <x:c r="D46" s="30" t="str"/>
    </x:row>
  </x:sheetData>
  <x:mergeCells>
    <x:mergeCell ref="A1:D1"/>
    <x:mergeCell ref="A25:D25"/>
    <x:mergeCell ref="A33:D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9" hidden="0" customWidth="1"/>
  </x:cols>
  <x:sheetData>
    <x:row r="1" ht="30" customHeight="1">
      <x:c r="A1" s="4" t="str">
        <x:v>MASTERDESK | Жоба және 12 айлық операциялық бюджет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26" customHeight="1">
      <x:c r="A3" s="11" t="str">
        <x:v>Шығыс бабы (₸)</x:v>
      </x:c>
      <x:c r="B3" s="11" t="str">
        <x:v>Қаң</x:v>
      </x:c>
      <x:c r="C3" s="11" t="str">
        <x:v>Ақп</x:v>
      </x:c>
      <x:c r="D3" s="11" t="str">
        <x:v>Нау</x:v>
      </x:c>
      <x:c r="E3" s="11" t="str">
        <x:v>Сәу</x:v>
      </x:c>
      <x:c r="F3" s="11" t="str">
        <x:v>Мам</x:v>
      </x:c>
      <x:c r="G3" s="11" t="str">
        <x:v>Мау</x:v>
      </x:c>
      <x:c r="H3" s="11" t="str">
        <x:v>Шіл</x:v>
      </x:c>
      <x:c r="I3" s="11" t="str">
        <x:v>Там</x:v>
      </x:c>
      <x:c r="J3" s="11" t="str">
        <x:v>Қыр</x:v>
      </x:c>
      <x:c r="K3" s="11" t="str">
        <x:v>Қаз</x:v>
      </x:c>
      <x:c r="L3" s="11" t="str">
        <x:v>Қар</x:v>
      </x:c>
      <x:c r="M3" s="11" t="str">
        <x:v>Жел</x:v>
      </x:c>
      <x:c r="N3" s="11" t="str">
        <x:v>12 ай, ₸</x:v>
      </x:c>
    </x:row>
    <x:row r="5">
      <x:c r="A5" t="str">
        <x:v>VPS (Hoster, 2vCPU/4GB/50GB)</x:v>
      </x:c>
      <x:c r="B5" s="34" t="n">
        <x:f>Inputs!$B$13</x:f>
        <x:v>7600</x:v>
      </x:c>
      <x:c r="C5" s="34" t="n">
        <x:f>Inputs!$B$13</x:f>
        <x:v>7600</x:v>
      </x:c>
      <x:c r="D5" s="34" t="n">
        <x:f>Inputs!$B$13</x:f>
        <x:v>7600</x:v>
      </x:c>
      <x:c r="E5" s="34" t="n">
        <x:f>Inputs!$B$13</x:f>
        <x:v>7600</x:v>
      </x:c>
      <x:c r="F5" s="34" t="n">
        <x:f>Inputs!$B$13</x:f>
        <x:v>7600</x:v>
      </x:c>
      <x:c r="G5" s="34" t="n">
        <x:f>Inputs!$B$13</x:f>
        <x:v>7600</x:v>
      </x:c>
      <x:c r="H5" s="34" t="n">
        <x:f>Inputs!$B$13</x:f>
        <x:v>7600</x:v>
      </x:c>
      <x:c r="I5" s="34" t="n">
        <x:f>Inputs!$B$13</x:f>
        <x:v>7600</x:v>
      </x:c>
      <x:c r="J5" s="34" t="n">
        <x:f>Inputs!$B$13</x:f>
        <x:v>7600</x:v>
      </x:c>
      <x:c r="K5" s="34" t="n">
        <x:f>Inputs!$B$13</x:f>
        <x:v>7600</x:v>
      </x:c>
      <x:c r="L5" s="34" t="n">
        <x:f>Inputs!$B$13</x:f>
        <x:v>7600</x:v>
      </x:c>
      <x:c r="M5" s="34" t="n">
        <x:f>Inputs!$B$13</x:f>
        <x:v>7600</x:v>
      </x:c>
      <x:c r="N5" s="38" t="n">
        <x:f>SUM(B5:M5)</x:f>
        <x:v>91200</x:v>
      </x:c>
    </x:row>
    <x:row r="6">
      <x:c r="A6" t="str">
        <x:v>Backup: сақтау/сынау</x:v>
      </x:c>
      <x:c r="B6" s="34" t="n">
        <x:f>Inputs!$B$14</x:f>
        <x:v>1800</x:v>
      </x:c>
      <x:c r="C6" s="34" t="n">
        <x:f>Inputs!$B$14</x:f>
        <x:v>1800</x:v>
      </x:c>
      <x:c r="D6" s="34" t="n">
        <x:f>Inputs!$B$14</x:f>
        <x:v>1800</x:v>
      </x:c>
      <x:c r="E6" s="34" t="n">
        <x:f>Inputs!$B$14</x:f>
        <x:v>1800</x:v>
      </x:c>
      <x:c r="F6" s="34" t="n">
        <x:f>Inputs!$B$14</x:f>
        <x:v>1800</x:v>
      </x:c>
      <x:c r="G6" s="34" t="n">
        <x:f>Inputs!$B$14</x:f>
        <x:v>1800</x:v>
      </x:c>
      <x:c r="H6" s="34" t="n">
        <x:f>Inputs!$B$14</x:f>
        <x:v>1800</x:v>
      </x:c>
      <x:c r="I6" s="34" t="n">
        <x:f>Inputs!$B$14</x:f>
        <x:v>1800</x:v>
      </x:c>
      <x:c r="J6" s="34" t="n">
        <x:f>Inputs!$B$14</x:f>
        <x:v>1800</x:v>
      </x:c>
      <x:c r="K6" s="34" t="n">
        <x:f>Inputs!$B$14</x:f>
        <x:v>1800</x:v>
      </x:c>
      <x:c r="L6" s="34" t="n">
        <x:f>Inputs!$B$14</x:f>
        <x:v>1800</x:v>
      </x:c>
      <x:c r="M6" s="34" t="n">
        <x:f>Inputs!$B$14</x:f>
        <x:v>1800</x:v>
      </x:c>
      <x:c r="N6" s="38" t="n">
        <x:f>SUM(B6:M6)</x:f>
        <x:v>21600</x:v>
      </x:c>
    </x:row>
    <x:row r="7">
      <x:c r="A7" t="str">
        <x:v>Домен және DNS</x:v>
      </x:c>
      <x:c r="B7" s="34" t="n">
        <x:f>Inputs!$B$15</x:f>
        <x:v>5600</x:v>
      </x:c>
      <x:c r="C7" s="38" t="n">
        <x:f>0</x:f>
        <x:v>0</x:v>
      </x:c>
      <x:c r="D7" s="38" t="n">
        <x:f>0</x:f>
        <x:v>0</x:v>
      </x:c>
      <x:c r="E7" s="38" t="n">
        <x:f>0</x:f>
        <x:v>0</x:v>
      </x:c>
      <x:c r="F7" s="38" t="n">
        <x:f>0</x:f>
        <x:v>0</x:v>
      </x:c>
      <x:c r="G7" s="38" t="n">
        <x:f>0</x:f>
        <x:v>0</x:v>
      </x:c>
      <x:c r="H7" s="38" t="n">
        <x:f>0</x:f>
        <x:v>0</x:v>
      </x:c>
      <x:c r="I7" s="38" t="n">
        <x:f>0</x:f>
        <x:v>0</x:v>
      </x:c>
      <x:c r="J7" s="38" t="n">
        <x:f>0</x:f>
        <x:v>0</x:v>
      </x:c>
      <x:c r="K7" s="38" t="n">
        <x:f>0</x:f>
        <x:v>0</x:v>
      </x:c>
      <x:c r="L7" s="38" t="n">
        <x:f>0</x:f>
        <x:v>0</x:v>
      </x:c>
      <x:c r="M7" s="38" t="n">
        <x:f>0</x:f>
        <x:v>0</x:v>
      </x:c>
      <x:c r="N7" s="38" t="n">
        <x:f>SUM(B7:M7)</x:f>
        <x:v>5600</x:v>
      </x:c>
    </x:row>
    <x:row r="8">
      <x:c r="A8" t="str">
        <x:v>Техникалық қолдау (4 сағ/ай)</x:v>
      </x:c>
      <x:c r="B8" s="34" t="n">
        <x:f>Inputs!$B$16*Inputs!$B$17</x:f>
        <x:v>14000</x:v>
      </x:c>
      <x:c r="C8" s="34" t="n">
        <x:f>Inputs!$B$16*Inputs!$B$17</x:f>
        <x:v>14000</x:v>
      </x:c>
      <x:c r="D8" s="34" t="n">
        <x:f>Inputs!$B$16*Inputs!$B$17</x:f>
        <x:v>14000</x:v>
      </x:c>
      <x:c r="E8" s="34" t="n">
        <x:f>Inputs!$B$16*Inputs!$B$17</x:f>
        <x:v>14000</x:v>
      </x:c>
      <x:c r="F8" s="34" t="n">
        <x:f>Inputs!$B$16*Inputs!$B$17</x:f>
        <x:v>14000</x:v>
      </x:c>
      <x:c r="G8" s="34" t="n">
        <x:f>Inputs!$B$16*Inputs!$B$17</x:f>
        <x:v>14000</x:v>
      </x:c>
      <x:c r="H8" s="34" t="n">
        <x:f>Inputs!$B$16*Inputs!$B$17</x:f>
        <x:v>14000</x:v>
      </x:c>
      <x:c r="I8" s="34" t="n">
        <x:f>Inputs!$B$16*Inputs!$B$17</x:f>
        <x:v>14000</x:v>
      </x:c>
      <x:c r="J8" s="34" t="n">
        <x:f>Inputs!$B$16*Inputs!$B$17</x:f>
        <x:v>14000</x:v>
      </x:c>
      <x:c r="K8" s="34" t="n">
        <x:f>Inputs!$B$16*Inputs!$B$17</x:f>
        <x:v>14000</x:v>
      </x:c>
      <x:c r="L8" s="34" t="n">
        <x:f>Inputs!$B$16*Inputs!$B$17</x:f>
        <x:v>14000</x:v>
      </x:c>
      <x:c r="M8" s="34" t="n">
        <x:f>Inputs!$B$16*Inputs!$B$17</x:f>
        <x:v>14000</x:v>
      </x:c>
      <x:c r="N8" s="38" t="n">
        <x:f>SUM(B8:M8)</x:f>
        <x:v>168000</x:v>
      </x:c>
    </x:row>
    <x:row r="9" ht="22" customHeight="1">
      <x:c r="A9" s="27" t="str">
        <x:v>Операциялық шығын — БАРЛЫҒЫ</x:v>
      </x:c>
      <x:c r="B9" s="41" t="n">
        <x:f>SUM(B5:B8)</x:f>
        <x:v>29000</x:v>
      </x:c>
      <x:c r="C9" s="41" t="n">
        <x:f>SUM(C5:C8)</x:f>
        <x:v>23400</x:v>
      </x:c>
      <x:c r="D9" s="41" t="n">
        <x:f>SUM(D5:D8)</x:f>
        <x:v>23400</x:v>
      </x:c>
      <x:c r="E9" s="41" t="n">
        <x:f>SUM(E5:E8)</x:f>
        <x:v>23400</x:v>
      </x:c>
      <x:c r="F9" s="41" t="n">
        <x:f>SUM(F5:F8)</x:f>
        <x:v>23400</x:v>
      </x:c>
      <x:c r="G9" s="41" t="n">
        <x:f>SUM(G5:G8)</x:f>
        <x:v>23400</x:v>
      </x:c>
      <x:c r="H9" s="41" t="n">
        <x:f>SUM(H5:H8)</x:f>
        <x:v>23400</x:v>
      </x:c>
      <x:c r="I9" s="41" t="n">
        <x:f>SUM(I5:I8)</x:f>
        <x:v>23400</x:v>
      </x:c>
      <x:c r="J9" s="41" t="n">
        <x:f>SUM(J5:J8)</x:f>
        <x:v>23400</x:v>
      </x:c>
      <x:c r="K9" s="41" t="n">
        <x:f>SUM(K5:K8)</x:f>
        <x:v>23400</x:v>
      </x:c>
      <x:c r="L9" s="41" t="n">
        <x:f>SUM(L5:L8)</x:f>
        <x:v>23400</x:v>
      </x:c>
      <x:c r="M9" s="41" t="n">
        <x:f>SUM(M5:M8)</x:f>
        <x:v>23400</x:v>
      </x:c>
      <x:c r="N9" s="41" t="n">
        <x:f>SUM(B9:M9)</x:f>
        <x:v>286400</x:v>
      </x:c>
    </x:row>
    <x:row r="11">
      <x:c r="A11" t="str">
        <x:v>Бастапқы әзірлеу / енгізу (ЛЗ 3)</x:v>
      </x:c>
      <x:c r="B11" s="34" t="n">
        <x:f>Inputs!$B$12</x:f>
        <x:v>825000</x:v>
      </x:c>
      <x:c r="C11" s="38" t="n">
        <x:f>0</x:f>
        <x:v>0</x:v>
      </x:c>
      <x:c r="D11" s="38" t="n">
        <x:f>0</x:f>
        <x:v>0</x:v>
      </x:c>
      <x:c r="E11" s="38" t="n">
        <x:f>0</x:f>
        <x:v>0</x:v>
      </x:c>
      <x:c r="F11" s="38" t="n">
        <x:f>0</x:f>
        <x:v>0</x:v>
      </x:c>
      <x:c r="G11" s="38" t="n">
        <x:f>0</x:f>
        <x:v>0</x:v>
      </x:c>
      <x:c r="H11" s="38" t="n">
        <x:f>0</x:f>
        <x:v>0</x:v>
      </x:c>
      <x:c r="I11" s="38" t="n">
        <x:f>0</x:f>
        <x:v>0</x:v>
      </x:c>
      <x:c r="J11" s="38" t="n">
        <x:f>0</x:f>
        <x:v>0</x:v>
      </x:c>
      <x:c r="K11" s="38" t="n">
        <x:f>0</x:f>
        <x:v>0</x:v>
      </x:c>
      <x:c r="L11" s="38" t="n">
        <x:f>0</x:f>
        <x:v>0</x:v>
      </x:c>
      <x:c r="M11" s="38" t="n">
        <x:f>0</x:f>
        <x:v>0</x:v>
      </x:c>
      <x:c r="N11" s="38" t="n">
        <x:f>SUM(B11:M11)</x:f>
        <x:v>825000</x:v>
      </x:c>
    </x:row>
    <x:row r="12" ht="22" customHeight="1">
      <x:c r="A12" s="27" t="str">
        <x:v>ЖОБА БЮДЖЕТІ — БАРЛЫҒЫ</x:v>
      </x:c>
      <x:c r="B12" s="41" t="n">
        <x:f>B9+B11</x:f>
        <x:v>854000</x:v>
      </x:c>
      <x:c r="C12" s="41" t="n">
        <x:f>C9+C11</x:f>
        <x:v>23400</x:v>
      </x:c>
      <x:c r="D12" s="41" t="n">
        <x:f>D9+D11</x:f>
        <x:v>23400</x:v>
      </x:c>
      <x:c r="E12" s="41" t="n">
        <x:f>E9+E11</x:f>
        <x:v>23400</x:v>
      </x:c>
      <x:c r="F12" s="41" t="n">
        <x:f>F9+F11</x:f>
        <x:v>23400</x:v>
      </x:c>
      <x:c r="G12" s="41" t="n">
        <x:f>G9+G11</x:f>
        <x:v>23400</x:v>
      </x:c>
      <x:c r="H12" s="41" t="n">
        <x:f>H9+H11</x:f>
        <x:v>23400</x:v>
      </x:c>
      <x:c r="I12" s="41" t="n">
        <x:f>I9+I11</x:f>
        <x:v>23400</x:v>
      </x:c>
      <x:c r="J12" s="41" t="n">
        <x:f>J9+J11</x:f>
        <x:v>23400</x:v>
      </x:c>
      <x:c r="K12" s="41" t="n">
        <x:f>K9+K11</x:f>
        <x:v>23400</x:v>
      </x:c>
      <x:c r="L12" s="41" t="n">
        <x:f>L9+L11</x:f>
        <x:v>23400</x:v>
      </x:c>
      <x:c r="M12" s="41" t="n">
        <x:f>M9+M11</x:f>
        <x:v>23400</x:v>
      </x:c>
      <x:c r="N12" s="41" t="n">
        <x:f>SUM(B12:M12)</x:f>
        <x:v>1111400</x:v>
      </x:c>
    </x:row>
    <x:row r="14">
      <x:c r="A14" t="str">
        <x:v>Қате тексеруі (0 болуы тиіс)</x:v>
      </x:c>
      <x:c r="N14" s="38" t="n">
        <x:f>N12-(N9+N11)</x:f>
        <x:v>0</x:v>
      </x:c>
    </x:row>
    <x:row r="16" ht="26" customHeight="1">
      <x:c r="A16" t="str">
        <x:v>MVP әзірлеу және деректер көшіру — бір реттік инвестиция, операциялық бюджеттен бөлек көрсетілген.</x:v>
      </x:c>
    </x:row>
    <x:row r="17" ht="26" customHeight="1">
      <x:c r="A17" t="str">
        <x:v>Бағалар — 20.10.2026 жағдайына арналған оқу болжамы. Бірінші айды қаңтар деп көрсету қаржылық модельге арналған.</x:v>
      </x:c>
    </x:row>
  </x:sheetData>
  <x:mergeCells>
    <x:mergeCell ref="A1:N1"/>
    <x:mergeCell ref="A16:N16"/>
    <x:mergeCell ref="A17:N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21" hidden="0" customWidth="1"/>
    <x:col min="4" max="4" width="50" hidden="0" customWidth="1"/>
  </x:cols>
  <x:sheetData>
    <x:row r="1" ht="30" customHeight="1">
      <x:c r="A1" s="4" t="str">
        <x:v>MASTERDESK | Бір пайдаланушы, бір тапсырыс және өтелу шегі</x:v>
      </x:c>
      <x:c r="B1" s="4"/>
      <x:c r="C1" s="4"/>
      <x:c r="D1" s="4"/>
    </x:row>
    <x:row r="3" ht="26" customHeight="1">
      <x:c r="A3" s="11" t="str">
        <x:v>Көрсеткіш</x:v>
      </x:c>
      <x:c r="B3" s="11" t="str">
        <x:v>Есептелген нәтиже</x:v>
      </x:c>
      <x:c r="C3" s="11" t="str">
        <x:v>Өлшем</x:v>
      </x:c>
      <x:c r="D3" s="11" t="str">
        <x:v>Логика</x:v>
      </x:c>
    </x:row>
    <x:row r="5">
      <x:c r="A5" t="str">
        <x:v>Айлық тапсырыс</x:v>
      </x:c>
      <x:c r="B5" s="38" t="n">
        <x:f>Inputs!B4</x:f>
        <x:v>260</x:v>
      </x:c>
      <x:c r="C5" t="str">
        <x:v>тапсырыс/ай</x:v>
      </x:c>
      <x:c r="D5" t="str">
        <x:v>ЛЗ 3 болжамы</x:v>
      </x:c>
    </x:row>
    <x:row r="6">
      <x:c r="A6" t="str">
        <x:v>Белсенді пайдаланушы</x:v>
      </x:c>
      <x:c r="B6" s="38" t="n">
        <x:f>Inputs!B5</x:f>
        <x:v>5</x:v>
      </x:c>
      <x:c r="C6" t="str">
        <x:v>адам</x:v>
      </x:c>
      <x:c r="D6" t="str">
        <x:v>ЛЗ 3 болжамы</x:v>
      </x:c>
    </x:row>
    <x:row r="7">
      <x:c r="A7" t="str">
        <x:v>Жүктелген еңбек құны</x:v>
      </x:c>
      <x:c r="B7" s="38" t="n">
        <x:f>Inputs!B8/Inputs!B9*Inputs!B10</x:f>
        <x:v>2000.0000000000002</x:v>
      </x:c>
      <x:c r="C7" t="str">
        <x:v>₸/сағ</x:v>
      </x:c>
      <x:c r="D7" t="str">
        <x:v>300 000 / 168 × 1,12</x:v>
      </x:c>
    </x:row>
    <x:row r="8">
      <x:c r="A8" t="str">
        <x:v>Бір тапсырыста үнемделген уақыт</x:v>
      </x:c>
      <x:c r="B8" s="38" t="n">
        <x:f>Inputs!B6-Inputs!B7</x:f>
        <x:v>11</x:v>
      </x:c>
      <x:c r="C8" t="str">
        <x:v>мин</x:v>
      </x:c>
      <x:c r="D8" t="str">
        <x:v>18 − 7</x:v>
      </x:c>
    </x:row>
    <x:row r="9">
      <x:c r="A9" t="str">
        <x:v>Бір тапсырыстың тиімді әсері</x:v>
      </x:c>
      <x:c r="B9" s="44" t="n">
        <x:f>B8/60*B7*Inputs!B11</x:f>
        <x:v>293.33333333333337</x:v>
      </x:c>
      <x:c r="C9" t="str">
        <x:v>₸/тапсырыс</x:v>
      </x:c>
      <x:c r="D9" t="str">
        <x:v>Өтелетін уақыттың 80%</x:v>
      </x:c>
    </x:row>
    <x:row r="10">
      <x:c r="A10" t="str">
        <x:v>Операциялық шығын, айына</x:v>
      </x:c>
      <x:c r="B10" s="44" t="n">
        <x:f>Budget12!N9/12</x:f>
        <x:v>23866.666666666668</x:v>
      </x:c>
      <x:c r="C10" t="str">
        <x:v>₸/ай</x:v>
      </x:c>
      <x:c r="D10" t="str">
        <x:v>12 айлық OPEX / 12</x:v>
      </x:c>
    </x:row>
    <x:row r="11">
      <x:c r="A11" t="str">
        <x:v>Инвестиция амортизациясы</x:v>
      </x:c>
      <x:c r="B11" s="44" t="n">
        <x:f>Inputs!B12/(Inputs!B22*12)</x:f>
        <x:v>22916.666666666668</x:v>
      </x:c>
      <x:c r="C11" t="str">
        <x:v>₸/ай</x:v>
      </x:c>
      <x:c r="D11" t="str">
        <x:v>825 000 / 36</x:v>
      </x:c>
    </x:row>
    <x:row r="12" ht="22" customHeight="1">
      <x:c r="A12" s="27" t="str">
        <x:v>Толық шартты айлық шығын</x:v>
      </x:c>
      <x:c r="B12" s="49" t="n">
        <x:f>SUM(B10:B11)</x:f>
        <x:v>46783.333333333336</x:v>
      </x:c>
      <x:c r="C12" s="27" t="str">
        <x:v>₸/ай</x:v>
      </x:c>
      <x:c r="D12" s="27" t="str">
        <x:v>OPEX + 36 айға бөлінген CAPEX</x:v>
      </x:c>
    </x:row>
    <x:row r="13">
      <x:c r="A13" t="str">
        <x:v>OPEX / бір пайдаланушы</x:v>
      </x:c>
      <x:c r="B13" s="44" t="n">
        <x:f>B10/B6</x:f>
        <x:v>4773.333333333334</x:v>
      </x:c>
      <x:c r="C13" t="str">
        <x:v>₸/адам-ай</x:v>
      </x:c>
      <x:c r="D13" t="str">
        <x:v>Тек қолдау/инфрақұрылым</x:v>
      </x:c>
    </x:row>
    <x:row r="14">
      <x:c r="A14" t="str">
        <x:v>OPEX / бір тапсырыс</x:v>
      </x:c>
      <x:c r="B14" s="44" t="n">
        <x:f>B10/B5</x:f>
        <x:v>91.7948717948718</x:v>
      </x:c>
      <x:c r="C14" t="str">
        <x:v>₸/тапсырыс</x:v>
      </x:c>
      <x:c r="D14" t="str">
        <x:v>Тек қолдау/инфрақұрылым</x:v>
      </x:c>
    </x:row>
    <x:row r="15">
      <x:c r="A15" t="str">
        <x:v>Толық шығын / пайдаланушы</x:v>
      </x:c>
      <x:c r="B15" s="44" t="n">
        <x:f>B12/B6</x:f>
        <x:v>9356.666666666668</x:v>
      </x:c>
      <x:c r="C15" t="str">
        <x:v>₸/адам-ай</x:v>
      </x:c>
      <x:c r="D15" t="str">
        <x:v>CAPEX+OPEX амортизациямен</x:v>
      </x:c>
    </x:row>
    <x:row r="16">
      <x:c r="A16" t="str">
        <x:v>Толық шығын / тапсырыс</x:v>
      </x:c>
      <x:c r="B16" s="44" t="n">
        <x:f>B12/B5</x:f>
        <x:v>179.93589743589746</x:v>
      </x:c>
      <x:c r="C16" t="str">
        <x:v>₸/тапсырыс</x:v>
      </x:c>
      <x:c r="D16" t="str">
        <x:v>CAPEX+OPEX амортизациямен</x:v>
      </x:c>
    </x:row>
    <x:row r="17">
      <x:c r="A17" t="str">
        <x:v>Толық айлық тиімді әсер</x:v>
      </x:c>
      <x:c r="B17" s="44" t="n">
        <x:f>B5*B9</x:f>
        <x:v>76266.66666666667</x:v>
      </x:c>
      <x:c r="C17" t="str">
        <x:v>₸/ай</x:v>
      </x:c>
      <x:c r="D17" t="str">
        <x:v>Тікелей кіріс емес, еңбек уақытының құны</x:v>
      </x:c>
    </x:row>
    <x:row r="18">
      <x:c r="A18" t="str">
        <x:v>Таза айлық тиімді әсер</x:v>
      </x:c>
      <x:c r="B18" s="44" t="n">
        <x:f>B17-B12</x:f>
        <x:v>29483.333333333336</x:v>
      </x:c>
      <x:c r="C18" t="str">
        <x:v>₸/ай</x:v>
      </x:c>
      <x:c r="D18" t="str">
        <x:v>Амортизацияланған шығыннан кейін</x:v>
      </x:c>
    </x:row>
    <x:row r="19" ht="22" customHeight="1">
      <x:c r="A19" s="27" t="str">
        <x:v>Тек OPEX ақталатын көлем</x:v>
      </x:c>
      <x:c r="B19" s="41" t="n">
        <x:f>ROUNDUP(B10/B9,0)</x:f>
        <x:v>82</x:v>
      </x:c>
      <x:c r="C19" s="27" t="str">
        <x:v>тапсырыс/ай</x:v>
      </x:c>
      <x:c r="D19" s="27" t="str">
        <x:v>Тек операциялық шығын шегі</x:v>
      </x:c>
    </x:row>
    <x:row r="20" ht="22" customHeight="1">
      <x:c r="A20" s="27" t="str">
        <x:v>CAPEX+OPEX ақталатын көлем</x:v>
      </x:c>
      <x:c r="B20" s="41" t="n">
        <x:f>ROUNDUP(B12/B9,0)</x:f>
        <x:v>160</x:v>
      </x:c>
      <x:c r="C20" s="27" t="str">
        <x:v>тапсырыс/ай</x:v>
      </x:c>
      <x:c r="D20" s="27" t="str">
        <x:v>36 айлық көкжиекке теңестіру</x:v>
      </x:c>
    </x:row>
    <x:row r="21">
      <x:c r="A21" t="str">
        <x:v>Толық жылдық тиімді әсер</x:v>
      </x:c>
      <x:c r="B21" s="38" t="n">
        <x:f>B17*12</x:f>
        <x:v>915200</x:v>
      </x:c>
      <x:c r="C21" t="str">
        <x:v>₸/жыл</x:v>
      </x:c>
      <x:c r="D21" t="str">
        <x:v>915 200 ₸ — ЛЗ 3</x:v>
      </x:c>
    </x:row>
    <x:row r="22">
      <x:c r="A22" t="str">
        <x:v>Алғашқы жылдағы тиімді әсер</x:v>
      </x:c>
      <x:c r="B22" s="38" t="n">
        <x:f>B21*Inputs!B18</x:f>
        <x:v>686400</x:v>
      </x:c>
      <x:c r="C22" t="str">
        <x:v>₸/жыл</x:v>
      </x:c>
      <x:c r="D22" t="str">
        <x:v>Толық әлеуеттің 75%</x:v>
      </x:c>
    </x:row>
    <x:row r="23">
      <x:c r="A23" t="str">
        <x:v>3 жылдағы жиынтық әсер</x:v>
      </x:c>
      <x:c r="B23" s="38" t="n">
        <x:f>B22+B21*(Inputs!B22-1)</x:f>
        <x:v>2516800</x:v>
      </x:c>
      <x:c r="C23" t="str">
        <x:v>₸/3ж</x:v>
      </x:c>
      <x:c r="D23" t="str">
        <x:v>ЛЗ 3: 2 516 800 ₸</x:v>
      </x:c>
    </x:row>
    <x:row r="24" ht="22" customHeight="1">
      <x:c r="A24" s="27" t="str">
        <x:v>3 жылдағы жоба TCO</x:v>
      </x:c>
      <x:c r="B24" s="41" t="n">
        <x:f>Inputs!B12+Budget12!N9*Inputs!B22</x:f>
        <x:v>1684200</x:v>
      </x:c>
      <x:c r="C24" s="27" t="str">
        <x:v>₸/3ж</x:v>
      </x:c>
      <x:c r="D24" s="27" t="str">
        <x:v>ЛЗ 3: 1 684 200 ₸</x:v>
      </x:c>
    </x:row>
    <x:row r="25">
      <x:c r="A25" t="str">
        <x:v>3 жылдағы таза тиімді әсер</x:v>
      </x:c>
      <x:c r="B25" s="38" t="n">
        <x:f>B23-B24</x:f>
        <x:v>832600</x:v>
      </x:c>
      <x:c r="C25" t="str">
        <x:v>₸/3ж</x:v>
      </x:c>
      <x:c r="D25" t="str">
        <x:v>2 516 800 − 1 684 200</x:v>
      </x:c>
    </x:row>
    <x:row r="26" ht="22" customHeight="1">
      <x:c r="A26" s="27" t="str">
        <x:v>3 жылдық ROI</x:v>
      </x:c>
      <x:c r="B26" s="53" t="n">
        <x:f>B25/B24</x:f>
        <x:v>0.4943593397458734</x:v>
      </x:c>
      <x:c r="C26" s="27" t="str">
        <x:v>үлес</x:v>
      </x:c>
      <x:c r="D26" s="27" t="str">
        <x:v>ЛЗ 3: 49,4%</x:v>
      </x:c>
    </x:row>
    <x:row r="27">
      <x:c r="A27" t="str">
        <x:v>ЛЗ 3 TCO сәйкестік</x:v>
      </x:c>
      <x:c r="B27" s="38" t="n">
        <x:f>B24-1684200</x:f>
        <x:v>0</x:v>
      </x:c>
      <x:c r="C27" t="str">
        <x:v>₸</x:v>
      </x:c>
      <x:c r="D27" t="str">
        <x:v>Нөл болуы тиіс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55" hidden="0" customWidth="1"/>
  </x:cols>
  <x:sheetData>
    <x:row r="1" ht="30" customHeight="1">
      <x:c r="A1" s="4" t="str">
        <x:v>MASTERDESK | Орналастырудың 36 айлық TCO салыстыруы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26" customHeight="1">
      <x:c r="A3" s="11" t="str">
        <x:v>Орналастыру тәсілі</x:v>
      </x:c>
      <x:c r="B3" s="11" t="str">
        <x:v>Бастапқы құрал, ₸</x:v>
      </x:c>
      <x:c r="C3" s="11" t="str">
        <x:v>VPS/ай</x:v>
      </x:c>
      <x:c r="D3" s="11" t="str">
        <x:v>Электр/ай</x:v>
      </x:c>
      <x:c r="E3" s="11" t="str">
        <x:v>Интернет/ай</x:v>
      </x:c>
      <x:c r="F3" s="11" t="str">
        <x:v>Backup/ай</x:v>
      </x:c>
      <x:c r="G3" s="11" t="str">
        <x:v>Қолдау/ай</x:v>
      </x:c>
      <x:c r="H3" s="11" t="str">
        <x:v>Домен/жыл</x:v>
      </x:c>
      <x:c r="I3" s="11" t="str">
        <x:v>Орнату, ₸</x:v>
      </x:c>
      <x:c r="J3" s="11" t="str">
        <x:v>OPEX/ай</x:v>
      </x:c>
      <x:c r="K3" s="11" t="str">
        <x:v>OPEX 36 ай</x:v>
      </x:c>
      <x:c r="L3" s="11" t="str">
        <x:v>Инфра TCO 36 ай</x:v>
      </x:c>
      <x:c r="M3" s="11" t="str">
        <x:v>Жобамен TCO</x:v>
      </x:c>
      <x:c r="N3" s="11" t="str">
        <x:v>Шектеу</x:v>
      </x:c>
    </x:row>
    <x:row r="5" ht="52" customHeight="1">
      <x:c r="A5" t="str">
        <x:v>ҚР public cloud VPS (Hoster)</x:v>
      </x:c>
      <x:c r="B5" s="38" t="n">
        <x:f>0</x:f>
        <x:v>0</x:v>
      </x:c>
      <x:c r="C5" s="34" t="n">
        <x:f>Inputs!B13</x:f>
        <x:v>7600</x:v>
      </x:c>
      <x:c r="D5" s="38" t="n">
        <x:f>0</x:f>
        <x:v>0</x:v>
      </x:c>
      <x:c r="E5" s="38" t="n">
        <x:f>0</x:f>
        <x:v>0</x:v>
      </x:c>
      <x:c r="F5" s="34" t="n">
        <x:f>Inputs!B14</x:f>
        <x:v>1800</x:v>
      </x:c>
      <x:c r="G5" s="34" t="n">
        <x:f>Inputs!B16*Inputs!B17</x:f>
        <x:v>14000</x:v>
      </x:c>
      <x:c r="H5" s="34" t="n">
        <x:f>Inputs!B15</x:f>
        <x:v>5600</x:v>
      </x:c>
      <x:c r="I5" s="38" t="n">
        <x:f>0</x:f>
        <x:v>0</x:v>
      </x:c>
      <x:c r="J5" s="38" t="n">
        <x:f>SUM(C5:G5)</x:f>
        <x:v>23400</x:v>
      </x:c>
      <x:c r="K5" s="38" t="n">
        <x:f>J5*36+H5*3</x:f>
        <x:v>859200</x:v>
      </x:c>
      <x:c r="L5" s="38" t="n">
        <x:f>B5+I5+K5</x:f>
        <x:v>859200</x:v>
      </x:c>
      <x:c r="M5" s="34" t="n">
        <x:f>L5+Inputs!B12</x:f>
        <x:v>1684200</x:v>
      </x:c>
      <x:c r="N5" s="30" t="str">
        <x:v>Бастапқы есептің базалық таңдауы; тариф ашық жарияланған</x:v>
      </x:c>
    </x:row>
    <x:row r="6" ht="52" customHeight="1">
      <x:c r="A6" t="str">
        <x:v>Жеке сервер (on-premise)</x:v>
      </x:c>
      <x:c r="B6" s="34" t="n">
        <x:f>SUM(Inputs!B35:Inputs!B37)</x:f>
        <x:v>390000</x:v>
      </x:c>
      <x:c r="C6" s="38" t="n">
        <x:f>0</x:f>
        <x:v>0</x:v>
      </x:c>
      <x:c r="D6" s="34" t="n">
        <x:f>Inputs!B39</x:f>
        <x:v>3500</x:v>
      </x:c>
      <x:c r="E6" s="34" t="n">
        <x:f>Inputs!B40</x:f>
        <x:v>5500</x:v>
      </x:c>
      <x:c r="F6" s="34" t="n">
        <x:f>Inputs!B41</x:f>
        <x:v>1000</x:v>
      </x:c>
      <x:c r="G6" s="34" t="n">
        <x:f>Inputs!B16*Inputs!B17</x:f>
        <x:v>14000</x:v>
      </x:c>
      <x:c r="H6" s="34" t="n">
        <x:f>Inputs!B15</x:f>
        <x:v>5600</x:v>
      </x:c>
      <x:c r="I6" s="34" t="n">
        <x:f>Inputs!B38</x:f>
        <x:v>30000</x:v>
      </x:c>
      <x:c r="J6" s="38" t="n">
        <x:f>SUM(C6:G6)</x:f>
        <x:v>24000</x:v>
      </x:c>
      <x:c r="K6" s="38" t="n">
        <x:f>J6*36+H6*3</x:f>
        <x:v>880800</x:v>
      </x:c>
      <x:c r="L6" s="38" t="n">
        <x:f>B6+I6+K6</x:f>
        <x:v>1300800</x:v>
      </x:c>
      <x:c r="M6" s="34" t="n">
        <x:f>L6+Inputs!B12</x:f>
        <x:v>2125800</x:v>
      </x:c>
      <x:c r="N6" s="30" t="str">
        <x:v>Жабдық сатып алу керек; интернет/электр/UPS тәуекелі</x:v>
      </x:c>
    </x:row>
    <x:row r="7" ht="52" customHeight="1">
      <x:c r="A7" t="str">
        <x:v>TechPoint бар сервері</x:v>
      </x:c>
      <x:c r="B7" s="34" t="n">
        <x:f>Inputs!B37</x:f>
        <x:v>25000</x:v>
      </x:c>
      <x:c r="C7" s="38" t="n">
        <x:f>0</x:f>
        <x:v>0</x:v>
      </x:c>
      <x:c r="D7" s="34" t="n">
        <x:f>Inputs!B43</x:f>
        <x:v>1800</x:v>
      </x:c>
      <x:c r="E7" s="38" t="n">
        <x:f>0</x:f>
        <x:v>0</x:v>
      </x:c>
      <x:c r="F7" s="34" t="n">
        <x:f>Inputs!B14</x:f>
        <x:v>1800</x:v>
      </x:c>
      <x:c r="G7" s="34" t="n">
        <x:f>Inputs!B16*Inputs!B17</x:f>
        <x:v>14000</x:v>
      </x:c>
      <x:c r="H7" s="34" t="n">
        <x:f>Inputs!B15</x:f>
        <x:v>5600</x:v>
      </x:c>
      <x:c r="I7" s="34" t="n">
        <x:f>Inputs!B42</x:f>
        <x:v>30000</x:v>
      </x:c>
      <x:c r="J7" s="38" t="n">
        <x:f>SUM(C7:G7)</x:f>
        <x:v>17600</x:v>
      </x:c>
      <x:c r="K7" s="38" t="n">
        <x:f>J7*36+H7*3</x:f>
        <x:v>650400</x:v>
      </x:c>
      <x:c r="L7" s="38" t="n">
        <x:f>B7+I7+K7</x:f>
        <x:v>705400</x:v>
      </x:c>
      <x:c r="M7" s="34" t="n">
        <x:f>L7+Inputs!B12</x:f>
        <x:v>1530400</x:v>
      </x:c>
      <x:c r="N7" s="30" t="str">
        <x:v>Бар қуат пен uptime тексерілген жоқ; conditional</x:v>
      </x:c>
    </x:row>
    <x:row r="9" ht="22" customHeight="1">
      <x:c r="A9" s="27" t="str">
        <x:v>БАҚЫЛАУ ЕСЕБІ | CloudApps калькуляторы, CPU + RAM + NVMe (қосымша нұсқа, негізгі үш нұсқаға кірмейді)</x:v>
      </x:c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</x:row>
    <x:row r="10">
      <x:c r="A10" t="str">
        <x:v>CloudApps VM, тек есептік ресурс</x:v>
      </x:c>
      <x:c r="B10" s="34" t="n">
        <x:f>Inputs!B27*Inputs!B30+Inputs!B28*Inputs!B31+Inputs!B29*Inputs!B32</x:f>
        <x:v>21400</x:v>
      </x:c>
      <x:c r="C10" s="38" t="n">
        <x:f>B10*36</x:f>
        <x:v>770400</x:v>
      </x:c>
      <x:c r="D10" t="str">
        <x:v>₸/ай</x:v>
      </x:c>
      <x:c r="E10" t="str">
        <x:v>₸/36ай</x:v>
      </x:c>
    </x:row>
    <x:row r="12">
      <x:c r="A12" t="str">
        <x:v>Әзірлеу 825 000 ₸ барлық нұсқаларға бірдей қосылған. Клиенттің қолдағы серверінің жарамдылығы тексерілмеген.</x:v>
      </x:c>
    </x:row>
    <x:row r="13">
      <x:c r="A13" t="str">
        <x:v>CloudApps айлық ресурс құны сайттағы C1 формуласына сай: 2 × 1 990 + 4 × 2 330 + 50 × 162 = 21 400 ₸.</x:v>
      </x:c>
    </x:row>
  </x:sheetData>
  <x:mergeCells>
    <x:mergeCell ref="A1:N1"/>
    <x:mergeCell ref="A9:N9"/>
    <x:mergeCell ref="A12:N12"/>
    <x:mergeCell ref="A13:N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9" hidden="0" customWidth="1"/>
  </x:cols>
  <x:sheetData>
    <x:row r="1" ht="30" customHeight="1">
      <x:c r="A1" s="4" t="str">
        <x:v>MASTERDESK | SLI / SLO / SLA / Error budget калькуляторы</x:v>
      </x:c>
      <x:c r="B1" s="4"/>
      <x:c r="C1" s="4"/>
      <x:c r="D1" s="4"/>
      <x:c r="E1" s="4"/>
      <x:c r="F1" s="4"/>
      <x:c r="G1" s="4"/>
      <x:c r="H1" s="4"/>
      <x:c r="I1" s="4"/>
    </x:row>
    <x:row r="3" ht="26" customHeight="1">
      <x:c r="A3" s="11" t="str">
        <x:v>Пайдаланушы сценарийі</x:v>
      </x:c>
      <x:c r="B3" s="11" t="str">
        <x:v>Айлық операция</x:v>
      </x:c>
      <x:c r="C3" s="11" t="str">
        <x:v>SLO</x:v>
      </x:c>
      <x:c r="D3" s="11" t="str">
        <x:v>SLA</x:v>
      </x:c>
      <x:c r="E3" s="11" t="str">
        <x:v>SLO қатесі, макс.</x:v>
      </x:c>
      <x:c r="F3" s="11" t="str">
        <x:v>SLA қатесі, макс.</x:v>
      </x:c>
      <x:c r="G3" s="11" t="str">
        <x:v>SLO ≤ сек</x:v>
      </x:c>
      <x:c r="H3" s="11" t="str">
        <x:v>SLA ≤ сек</x:v>
      </x:c>
      <x:c r="I3" s="11" t="str">
        <x:v>Өлшеу / шарт</x:v>
      </x:c>
    </x:row>
    <x:row r="5" ht="52" customHeight="1">
      <x:c r="A5" t="str">
        <x:v>Жөндеу тапсырысын сақтау</x:v>
      </x:c>
      <x:c r="B5" s="34" t="n">
        <x:f>Inputs!B4</x:f>
        <x:v>260</x:v>
      </x:c>
      <x:c r="C5" s="46" t="n">
        <x:v>0.99</x:v>
      </x:c>
      <x:c r="D5" s="46" t="n">
        <x:v>0.985</x:v>
      </x:c>
      <x:c r="E5" s="38" t="n">
        <x:f>INT(B5*(1-C5))</x:f>
        <x:v>2</x:v>
      </x:c>
      <x:c r="F5" s="38" t="n">
        <x:f>INT(B5*(1-D5))</x:f>
        <x:v>3</x:v>
      </x:c>
      <x:c r="G5" t="n">
        <x:v>2</x:v>
      </x:c>
      <x:c r="H5" t="n">
        <x:v>3</x:v>
      </x:c>
      <x:c r="I5" s="30" t="str">
        <x:v>Save → экранда сәтті тіркелген ID көрінуі</x:v>
      </x:c>
    </x:row>
    <x:row r="6" ht="52" customHeight="1">
      <x:c r="A6" t="str">
        <x:v>Статусты жаңарту</x:v>
      </x:c>
      <x:c r="B6" s="34" t="n">
        <x:f>Inputs!B4*Inputs!B23</x:f>
        <x:v>520</x:v>
      </x:c>
      <x:c r="C6" s="46" t="n">
        <x:v>0.995</x:v>
      </x:c>
      <x:c r="D6" s="46" t="n">
        <x:v>0.99</x:v>
      </x:c>
      <x:c r="E6" s="38" t="n">
        <x:f>INT(B6*(1-C6))</x:f>
        <x:v>2</x:v>
      </x:c>
      <x:c r="F6" s="38" t="n">
        <x:f>INT(B6*(1-D6))</x:f>
        <x:v>5</x:v>
      </x:c>
      <x:c r="G6" t="n">
        <x:v>2</x:v>
      </x:c>
      <x:c r="H6" t="n">
        <x:v>3</x:v>
      </x:c>
      <x:c r="I6" s="30" t="str">
        <x:v>API 2xx + AuditLog жазбасы + UI хабарламасы</x:v>
      </x:c>
    </x:row>
    <x:row r="7" ht="52" customHeight="1">
      <x:c r="A7" t="str">
        <x:v>Тапсырысты іздеу</x:v>
      </x:c>
      <x:c r="B7" s="34" t="n">
        <x:f>Inputs!B4*Inputs!B24</x:f>
        <x:v>1040</x:v>
      </x:c>
      <x:c r="C7" s="46" t="n">
        <x:v>0.99</x:v>
      </x:c>
      <x:c r="D7" s="46" t="n">
        <x:v>0.98</x:v>
      </x:c>
      <x:c r="E7" s="38" t="n">
        <x:f>INT(B7*(1-C7))</x:f>
        <x:v>10</x:v>
      </x:c>
      <x:c r="F7" s="38" t="n">
        <x:f>INT(B7*(1-D7))</x:f>
        <x:v>20</x:v>
      </x:c>
      <x:c r="G7" t="n">
        <x:v>3</x:v>
      </x:c>
      <x:c r="H7" t="n">
        <x:v>4</x:v>
      </x:c>
      <x:c r="I7" s="30" t="str">
        <x:v>Іздеген заказ нәтиже тізімінде көрінуі</x:v>
      </x:c>
    </x:row>
    <x:row r="10" ht="22" customHeight="1">
      <x:c r="A10" s="27" t="str">
        <x:v>Қызмет уақыты бойынша қолжетімділік (тек қызметкер қолданатын кезең, жоспарлы тоқтау да есептеледі)</x:v>
      </x:c>
      <x:c r="B10" s="27"/>
      <x:c r="C10" s="27"/>
      <x:c r="D10" s="27"/>
      <x:c r="E10" s="27"/>
      <x:c r="F10" s="27"/>
      <x:c r="G10" s="27"/>
      <x:c r="H10" s="27"/>
      <x:c r="I10" s="27"/>
    </x:row>
    <x:row r="11" ht="26" customHeight="1">
      <x:c r="A11" s="11" t="str">
        <x:v>Айлық қызмет сағаты</x:v>
      </x:c>
      <x:c r="B11" s="11" t="str">
        <x:v>SLO қолжетімділік</x:v>
      </x:c>
      <x:c r="C11" s="11" t="str">
        <x:v>SLA қолжетімділік</x:v>
      </x:c>
      <x:c r="D11" s="11" t="str">
        <x:v>SLO қателік бюджеті, мин</x:v>
      </x:c>
      <x:c r="E11" s="11" t="str">
        <x:v>SLA қателік бюджеті, мин</x:v>
      </x:c>
      <x:c r="F11" s="11" t="str">
        <x:v>50% шекті мән, мин</x:v>
      </x:c>
      <x:c r="G11" s="11" t="str">
        <x:v>100% шекті мән, мин</x:v>
      </x:c>
    </x:row>
    <x:row r="12">
      <x:c r="A12" s="56" t="n">
        <x:f>Inputs!B19</x:f>
        <x:v>312</x:v>
      </x:c>
      <x:c r="B12" s="58" t="n">
        <x:f>Inputs!B20</x:f>
        <x:v>0.995</x:v>
      </x:c>
      <x:c r="C12" s="58" t="n">
        <x:f>Inputs!B21</x:f>
        <x:v>0.99</x:v>
      </x:c>
      <x:c r="D12" s="44" t="n">
        <x:f>A12*(1-B12)*60</x:f>
        <x:v>93.60000000000008</x:v>
      </x:c>
      <x:c r="E12" s="44" t="n">
        <x:f>A12*(1-C12)*60</x:f>
        <x:v>187.20000000000016</x:v>
      </x:c>
      <x:c r="F12" s="44" t="n">
        <x:f>D12/2</x:f>
        <x:v>46.80000000000004</x:v>
      </x:c>
      <x:c r="G12" s="44" t="n">
        <x:f>D12</x:f>
        <x:v>93.60000000000008</x:v>
      </x:c>
    </x:row>
    <x:row r="15">
      <x:c r="A15" t="str">
        <x:v>50%: PM инцидентті тіркейді, жаңа функцияны тоқтата тұрып, түзетулерді жоспарлайды; 100%: релиз тоқтайды, RCA және қалпына келтіру жоспары бірінші кезекке өтеді.</x:v>
      </x:c>
    </x:row>
    <x:row r="16">
      <x:c r="A16" t="str">
        <x:v>Мақсатты мәндер — жоба ұсыныстары: жүйе әзірленбеген, мониторинг пен SLA іске қосылған жоқ.</x:v>
      </x:c>
    </x:row>
  </x:sheetData>
  <x:mergeCells>
    <x:mergeCell ref="A1:I1"/>
    <x:mergeCell ref="A10:I10"/>
    <x:mergeCell ref="A15:I15"/>
    <x:mergeCell ref="A16:I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74" hidden="0" customWidth="1"/>
    <x:col min="3" max="3" width="91" hidden="0" customWidth="1"/>
  </x:cols>
  <x:sheetData>
    <x:row r="1" ht="30" customHeight="1">
      <x:c r="A1" s="4" t="str">
        <x:v>MASTERDESK | Дереккөздер және пайдаланудың шектері</x:v>
      </x:c>
      <x:c r="B1" s="4"/>
      <x:c r="C1" s="4"/>
    </x:row>
    <x:row r="3" ht="26" customHeight="1">
      <x:c r="A3" s="11" t="str">
        <x:v>Көзі</x:v>
      </x:c>
      <x:c r="B3" s="11" t="str">
        <x:v>URL / құжат</x:v>
      </x:c>
      <x:c r="C3" s="11" t="str">
        <x:v>Мәнмәтін және мәртебе</x:v>
      </x:c>
    </x:row>
    <x:row r="4" ht="32" customHeight="1">
      <x:c r="A4" s="30" t="str">
        <x:v>MasterDesk ЛЗ 3</x:v>
      </x:c>
      <x:c r="B4" s="30" t="str">
        <x:v>MasterDesk_LZ3_finmodel.xlsx, MasterDesk_LZ3.docx</x:v>
      </x:c>
      <x:c r="C4" s="30" t="str">
        <x:v>260 тапсырыс, 5 пайдаланушы, 825 000 ₸ / 286 400 ₸</x:v>
      </x:c>
    </x:row>
    <x:row r="5" ht="32" customHeight="1">
      <x:c r="A5" s="30" t="str">
        <x:v>MasterDesk ЛЗ 5</x:v>
      </x:c>
      <x:c r="B5" s="30" t="str">
        <x:v>MasterDesk_LZ5_kazakh.docx</x:v>
      </x:c>
      <x:c r="C5" s="30" t="str">
        <x:v>290 сағ WBS, scope, 2 маман</x:v>
      </x:c>
    </x:row>
    <x:row r="6" ht="32" customHeight="1">
      <x:c r="A6" s="30" t="str">
        <x:v>Hoster.kz (20.10.2026)</x:v>
      </x:c>
      <x:c r="B6" s="30" t="str">
        <x:v>https://hoster.kz/cloud/vps/</x:v>
      </x:c>
      <x:c r="C6" s="30" t="str">
        <x:v>Cloud 2-4-50: 7 600 ₸/ай, 2 vCPU / 4 GB / 50 GB</x:v>
      </x:c>
    </x:row>
    <x:row r="7" ht="32" customHeight="1">
      <x:c r="A7" s="30" t="str">
        <x:v>CloudApps (20.10.2026)</x:v>
      </x:c>
      <x:c r="B7" s="30" t="str">
        <x:v>https://cloudapps.kz/kalkulyator-resursov/</x:v>
      </x:c>
      <x:c r="C7" s="30" t="str">
        <x:v>C1: CPU 1 990 ₸, RAM 2 330 ₸/GB, NVMe 162 ₸/GB</x:v>
      </x:c>
    </x:row>
    <x:row r="8" ht="32" customHeight="1">
      <x:c r="A8" s="30" t="str">
        <x:v>ҚР жеке деректер заңы</x:v>
      </x:c>
      <x:c r="B8" s="30" t="str">
        <x:v>https://adilet.zan.kz/rus/docs/Z1300000094</x:v>
      </x:c>
      <x:c r="C8" s="30" t="str">
        <x:v>12-бап: жеке дерек базасы ҚР аумағында сақталуы керек</x:v>
      </x:c>
    </x:row>
    <x:row r="9" ht="32" customHeight="1">
      <x:c r="A9" s="30" t="str">
        <x:v>Ішкі жоспарлық бағалау</x:v>
      </x:c>
      <x:c r="B9" s="30" t="str">
        <x:v>Оқу моделінің болжамы</x:v>
      </x:c>
      <x:c r="C9" s="30" t="str">
        <x:v>Backup, домен, қолдау, өз сервері, қабылдау; TechPoint бекітпеді</x:v>
      </x:c>
    </x:row>
    <x:row r="10" ht="32" customHeight="1">
      <x:c r="A10" s="30" t="str">
        <x:v>Методичка ЛЗ 8</x:v>
      </x:c>
      <x:c r="B10" s="30" t="str">
        <x:v>Методичка по лабораторным работам (для студентов).docx</x:v>
      </x:c>
      <x:c r="C10" s="30" t="str">
        <x:v>SoW, SLO/SLA, error budget, 12 ай бюджет, 36 ай TCO</x:v>
      </x:c>
    </x:row>
    <x:row r="11" ht="32" customHeight="1">
      <x:c r="A11" s="30"/>
      <x:c r="B11" s="30"/>
      <x:c r="C11" s="30"/>
    </x:row>
  </x:sheetData>
  <x:mergeCells>
    <x:mergeCell ref="A1:C1"/>
  </x:mergeCells>
  <x:pageMargins left="0.7" right="0.7" top="0.75" bottom="0.75" header="0.3" footer="0.3"/>
</x:worksheet>
</file>