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726fc1c0864d1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Болжамдар" sheetId="1" r:id="Ra054f2ab411a4ee1"/>
    <x:sheet xmlns:r="http://schemas.openxmlformats.org/officeDocument/2006/relationships" name="TCO" sheetId="2" r:id="Ra56623665d974da1"/>
    <x:sheet xmlns:r="http://schemas.openxmlformats.org/officeDocument/2006/relationships" name="Баламалар" sheetId="3" r:id="Rd959186d43f24c00"/>
    <x:sheet xmlns:r="http://schemas.openxmlformats.org/officeDocument/2006/relationships" name="Сезімталдық" sheetId="4" r:id="Rd18d979b6fd84093"/>
    <x:sheet xmlns:r="http://schemas.openxmlformats.org/officeDocument/2006/relationships" name="Дереккөздер" sheetId="5" r:id="R691703569ce5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[Red](#,##0);-"/>
    <x:numFmt numFmtId="201" formatCode="0.0%;[Red](0.0%);-"/>
    <x:numFmt numFmtId="202" formatCode="0.00;[Red](0.00);-"/>
    <x:numFmt numFmtId="203" formatCode="0.0%"/>
  </x:numFmts>
  <x:fonts count="4">
    <x:font>
      <x:sz val="11"/>
      <x:name val="Carlito"/>
    </x:font>
    <x:font>
      <x:b/>
      <x:sz val="15"/>
      <x:color rgb="FF17364A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DDECF1"/>
      </x:patternFill>
    </x:fill>
    <x:fill>
      <x:patternFill patternType="solid">
        <x:fgColor rgb="FF17364A"/>
      </x:patternFill>
    </x:fill>
    <x:fill>
      <x:patternFill patternType="solid">
        <x:fgColor rgb="FFEAF2F5"/>
      </x:patternFill>
    </x:fill>
    <x:fill>
      <x:patternFill patternType="solid">
        <x:fgColor rgb="FFFFF2BF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0" fillId="0" borderId="1" xfId="0" applyNumberFormat="1" applyFont="1" applyFill="1" applyBorder="1"/>
    <x:xf numFmtId="200" fontId="0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3" fillId="5" borderId="0" xfId="0" applyNumberFormat="1" applyFont="1" applyFill="1" applyBorder="1"/>
    <x:xf numFmtId="203" fontId="3" fillId="5" borderId="1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200" fontId="0" fillId="2" borderId="0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200" fontId="0" fillId="2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e06506ac844749" /><Relationship Type="http://schemas.openxmlformats.org/officeDocument/2006/relationships/theme" Target="/xl/theme/theme1.xml" Id="Rc906e735dd4f4959" /><Relationship Type="http://schemas.openxmlformats.org/officeDocument/2006/relationships/sharedStrings" Target="/xl/sharedStrings.xml" Id="Rc1f40f257e73499e" /><Relationship Type="http://schemas.openxmlformats.org/officeDocument/2006/relationships/worksheet" Target="/xl/worksheets/sheet1.xml" Id="Ra054f2ab411a4ee1" /><Relationship Type="http://schemas.openxmlformats.org/officeDocument/2006/relationships/worksheet" Target="/xl/worksheets/sheet2.xml" Id="Ra56623665d974da1" /><Relationship Type="http://schemas.openxmlformats.org/officeDocument/2006/relationships/worksheet" Target="/xl/worksheets/sheet3.xml" Id="Rd959186d43f24c00" /><Relationship Type="http://schemas.openxmlformats.org/officeDocument/2006/relationships/worksheet" Target="/xl/worksheets/sheet4.xml" Id="Rd18d979b6fd84093" /><Relationship Type="http://schemas.openxmlformats.org/officeDocument/2006/relationships/worksheet" Target="/xl/worksheets/sheet5.xml" Id="R691703569ce5412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eaa4c1e93354d4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NPV</c:v>
          </c:tx>
          <c:cat>
            <c:strRef>
              <c:f>'Баламалар'!$G$4:$G$7</c:f>
              <c:strCache>
                <c:ptCount val="0"/>
              </c:strCache>
            </c:strRef>
          </c:cat>
          <c:val>
            <c:numRef>
              <c:f>'Баламалар'!$H$4:$H$7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9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aa4c1e93354d4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f4513992a5cb4275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17" hidden="0" customWidth="1"/>
    <x:col min="4" max="4" width="18" hidden="0" customWidth="1"/>
    <x:col min="5" max="5" width="62" hidden="0" customWidth="1"/>
    <x:col min="6" max="6" width="18" hidden="0" customWidth="1"/>
  </x:cols>
  <x:sheetData>
    <x:row r="1" ht="32" customHeight="1">
      <x:c r="A1" s="4" t="str">
        <x:v>MasterDesk | бастапқы болжамдар, ₸ және уақыт</x:v>
      </x:c>
      <x:c r="B1" s="5"/>
      <x:c r="C1" s="5"/>
      <x:c r="D1" s="5"/>
      <x:c r="E1" s="5"/>
      <x:c r="F1" s="5"/>
    </x:row>
    <x:row r="2" ht="25" customHeight="1"/>
    <x:row r="3" ht="25" customHeight="1">
      <x:c r="A3" s="10" t="str">
        <x:v>№</x:v>
      </x:c>
      <x:c r="B3" s="10" t="str">
        <x:v>Көрсеткіш</x:v>
      </x:c>
      <x:c r="C3" s="10" t="str">
        <x:v>Мән</x:v>
      </x:c>
      <x:c r="D3" s="10" t="str">
        <x:v>Бірлік</x:v>
      </x:c>
      <x:c r="E3" s="10" t="str">
        <x:v>Шығу тегі / статус</x:v>
      </x:c>
      <x:c r="F3" s="10"/>
    </x:row>
    <x:row r="4" ht="21" customHeight="1">
      <x:c r="A4" s="14"/>
    </x:row>
    <x:row r="5" ht="21" customHeight="1">
      <x:c r="A5" s="14" t="n">
        <x:v>1</x:v>
      </x:c>
      <x:c r="B5" t="str">
        <x:v>Тапсырыс саны / ай</x:v>
      </x:c>
      <x:c r="C5" s="22" t="n">
        <x:v>260</x:v>
      </x:c>
      <x:c r="D5" t="str">
        <x:v>тапсырыс</x:v>
      </x:c>
      <x:c r="E5" t="str">
        <x:v>Болжам: 10 жөндеу/күн × 26 күн; TechPoint өлшемі жоқ</x:v>
      </x:c>
    </x:row>
    <x:row r="6" ht="21" customHeight="1">
      <x:c r="A6" s="14" t="n">
        <x:v>2</x:v>
      </x:c>
      <x:c r="B6" t="str">
        <x:v>Қазіргі уақыт / тапсырыс</x:v>
      </x:c>
      <x:c r="C6" s="22" t="n">
        <x:v>18</x:v>
      </x:c>
      <x:c r="D6" t="str">
        <x:v>мин</x:v>
      </x:c>
      <x:c r="E6" t="str">
        <x:v>Болжам: қабылдау, журнал, мәртебе бойынша сұрау</x:v>
      </x:c>
    </x:row>
    <x:row r="7" ht="21" customHeight="1">
      <x:c r="A7" s="14" t="n">
        <x:v>3</x:v>
      </x:c>
      <x:c r="B7" t="str">
        <x:v>Excel / тапсырыс</x:v>
      </x:c>
      <x:c r="C7" s="22" t="n">
        <x:v>14</x:v>
      </x:c>
      <x:c r="D7" t="str">
        <x:v>мин</x:v>
      </x:c>
      <x:c r="E7" t="str">
        <x:v>Болжам; уақыт үнемі 4 минут</x:v>
      </x:c>
    </x:row>
    <x:row r="8" ht="21" customHeight="1">
      <x:c r="A8" s="14" t="n">
        <x:v>4</x:v>
      </x:c>
      <x:c r="B8" t="str">
        <x:v>RO App / тапсырыс</x:v>
      </x:c>
      <x:c r="C8" s="22" t="n">
        <x:v>9</x:v>
      </x:c>
      <x:c r="D8" t="str">
        <x:v>мин</x:v>
      </x:c>
      <x:c r="E8" t="str">
        <x:v>Болжам; уақыт үнемі 9 минут</x:v>
      </x:c>
    </x:row>
    <x:row r="9" ht="21" customHeight="1">
      <x:c r="A9" s="14" t="n">
        <x:v>5</x:v>
      </x:c>
      <x:c r="B9" t="str">
        <x:v>MasterDesk / тапсырыс</x:v>
      </x:c>
      <x:c r="C9" s="22" t="n">
        <x:v>7</x:v>
      </x:c>
      <x:c r="D9" t="str">
        <x:v>мин</x:v>
      </x:c>
      <x:c r="E9" t="str">
        <x:v>Мақсат; уақыт үнемі 11 минут</x:v>
      </x:c>
    </x:row>
    <x:row r="10" ht="21" customHeight="1">
      <x:c r="A10" s="14" t="n">
        <x:v>6</x:v>
      </x:c>
      <x:c r="B10" t="str">
        <x:v>Қызметкердің жалақысы</x:v>
      </x:c>
      <x:c r="C10" s="22" t="n">
        <x:v>300000</x:v>
      </x:c>
      <x:c r="D10" t="str">
        <x:v>₸/ай</x:v>
      </x:c>
      <x:c r="E10" t="str">
        <x:v>Бағалық бағдар: hh.kz; нақты TechPoint жалақысы белгісіз</x:v>
      </x:c>
    </x:row>
    <x:row r="11" ht="21" customHeight="1">
      <x:c r="A11" s="14" t="n">
        <x:v>7</x:v>
      </x:c>
      <x:c r="B11" t="str">
        <x:v>Айлық жұмыс сағаты</x:v>
      </x:c>
      <x:c r="C11" s="22" t="n">
        <x:v>168</x:v>
      </x:c>
      <x:c r="D11" t="str">
        <x:v>сағ</x:v>
      </x:c>
      <x:c r="E11" t="str">
        <x:v>Жоспарлық 21 × 8 сағат</x:v>
      </x:c>
    </x:row>
    <x:row r="12" ht="21" customHeight="1">
      <x:c r="A12" s="14" t="n">
        <x:v>8</x:v>
      </x:c>
      <x:c r="B12" t="str">
        <x:v>Жұмыс беруші коэффициенті</x:v>
      </x:c>
      <x:c r="C12" s="22" t="n">
        <x:v>1.12</x:v>
      </x:c>
      <x:c r="D12" t="str">
        <x:v>коэфф</x:v>
      </x:c>
      <x:c r="E12" t="str">
        <x:v>Есептік үстеме, нақты салық есебі емес</x:v>
      </x:c>
    </x:row>
    <x:row r="13" ht="21" customHeight="1">
      <x:c r="A13" s="14" t="n">
        <x:v>9</x:v>
      </x:c>
      <x:c r="B13" t="str">
        <x:v>Бос уақыттың пайдалы үлесі</x:v>
      </x:c>
      <x:c r="C13" s="32" t="n">
        <x:v>0.8</x:v>
      </x:c>
      <x:c r="D13" t="str">
        <x:v>үлес</x:v>
      </x:c>
      <x:c r="E13" t="str">
        <x:v>Болжам: 80% қайта пайдаланылады, қолма-қол үнем емес</x:v>
      </x:c>
    </x:row>
    <x:row r="14" ht="21" customHeight="1">
      <x:c r="A14" s="14" t="n">
        <x:v>10</x:v>
      </x:c>
      <x:c r="B14" t="str">
        <x:v>Бірінші жылдағы іске асу</x:v>
      </x:c>
      <x:c r="C14" s="32" t="n">
        <x:v>0.75</x:v>
      </x:c>
      <x:c r="D14" t="str">
        <x:v>үлес</x:v>
      </x:c>
      <x:c r="E14" t="str">
        <x:v>Болжам: оқыту және енгізу кезеңі</x:v>
      </x:c>
    </x:row>
    <x:row r="15" ht="21" customHeight="1">
      <x:c r="A15" s="14" t="n">
        <x:v>11</x:v>
      </x:c>
      <x:c r="B15" t="str">
        <x:v>Дисконттау ставкасы</x:v>
      </x:c>
      <x:c r="C15" s="32" t="n">
        <x:v>0.15</x:v>
      </x:c>
      <x:c r="D15" t="str">
        <x:v>жылына</x:v>
      </x:c>
      <x:c r="E15" t="str">
        <x:v>Депозиттік бағдар негізіндегі 15% шартты ставка</x:v>
      </x:c>
    </x:row>
    <x:row r="16" ht="21" customHeight="1">
      <x:c r="A16" s="14" t="n">
        <x:v>12</x:v>
      </x:c>
      <x:c r="B16" t="str">
        <x:v>EUR/KZT</x:v>
      </x:c>
      <x:c r="C16" s="22" t="n">
        <x:v>507.67</x:v>
      </x:c>
      <x:c r="D16" t="str">
        <x:v>₸/€</x:v>
      </x:c>
      <x:c r="E16" t="str">
        <x:v>Ұлттық Банк РК 20.10.2026</x:v>
      </x:c>
    </x:row>
    <x:row r="17" ht="21" customHeight="1">
      <x:c r="A17" s="14" t="n">
        <x:v>13</x:v>
      </x:c>
      <x:c r="B17" t="str">
        <x:v>SaaS пайдаланушылары</x:v>
      </x:c>
      <x:c r="C17" s="20" t="n">
        <x:v>5</x:v>
      </x:c>
      <x:c r="D17" t="str">
        <x:v>адам</x:v>
      </x:c>
      <x:c r="E17" t="str">
        <x:v>Болжам: 1 әкімші, 3 шебер, 1 басшы</x:v>
      </x:c>
    </x:row>
    <x:row r="18" ht="21" customHeight="1">
      <x:c r="A18" s="14" t="n">
        <x:v>14</x:v>
      </x:c>
      <x:c r="B18" t="str">
        <x:v>RO App All-in-One тарифі</x:v>
      </x:c>
      <x:c r="C18" s="20" t="n">
        <x:v>29</x:v>
      </x:c>
      <x:c r="D18" t="str">
        <x:v>€/ай</x:v>
      </x:c>
      <x:c r="E18" t="str">
        <x:v>RO App ресми бағасы (ҚҚС-сыз)</x:v>
      </x:c>
    </x:row>
    <x:row r="19" ht="21" customHeight="1">
      <x:c r="A19" s="14" t="n">
        <x:v>15</x:v>
      </x:c>
      <x:c r="B19" t="str">
        <x:v>RO App тарифіне кіретін</x:v>
      </x:c>
      <x:c r="C19" s="20" t="n">
        <x:v>3</x:v>
      </x:c>
      <x:c r="D19" t="str">
        <x:v>адам</x:v>
      </x:c>
      <x:c r="E19" t="str">
        <x:v>RO App ресми сайт</x:v>
      </x:c>
    </x:row>
    <x:row r="20" ht="21" customHeight="1">
      <x:c r="A20" s="14" t="n">
        <x:v>16</x:v>
      </x:c>
      <x:c r="B20" t="str">
        <x:v>Қосымша қызметкер тарифі</x:v>
      </x:c>
      <x:c r="C20" s="20" t="n">
        <x:v>7</x:v>
      </x:c>
      <x:c r="D20" t="str">
        <x:v>€/ай</x:v>
      </x:c>
      <x:c r="E20" t="str">
        <x:v>RO App ресми сайт</x:v>
      </x:c>
    </x:row>
    <x:row r="21" ht="21" customHeight="1">
      <x:c r="A21" s="14" t="n">
        <x:v>17</x:v>
      </x:c>
      <x:c r="B21" t="str">
        <x:v>1 сағат IT еңбегі</x:v>
      </x:c>
      <x:c r="C21" s="20" t="n">
        <x:v>2500</x:v>
      </x:c>
      <x:c r="D21" t="str">
        <x:v>₸/сағ</x:v>
      </x:c>
      <x:c r="E21" t="str">
        <x:v>Жас команда үшін есептік ставка; келісілген баға емес</x:v>
      </x:c>
    </x:row>
    <x:row r="22" ht="21" customHeight="1">
      <x:c r="A22" s="14" t="n">
        <x:v>18</x:v>
      </x:c>
      <x:c r="B22" t="str">
        <x:v>Frontend әзірлеу сағаты</x:v>
      </x:c>
      <x:c r="C22" s="20" t="n">
        <x:v>110</x:v>
      </x:c>
      <x:c r="D22" t="str">
        <x:v>сағ</x:v>
      </x:c>
      <x:c r="E22" t="str">
        <x:v>Амирдің есептік бағасы</x:v>
      </x:c>
    </x:row>
    <x:row r="23" ht="21" customHeight="1">
      <x:c r="A23" s="14" t="n">
        <x:v>19</x:v>
      </x:c>
      <x:c r="B23" t="str">
        <x:v>Backend әзірлеу сағаты</x:v>
      </x:c>
      <x:c r="C23" s="20" t="n">
        <x:v>125</x:v>
      </x:c>
      <x:c r="D23" t="str">
        <x:v>сағ</x:v>
      </x:c>
      <x:c r="E23" t="str">
        <x:v>Ханкелдінің есептік бағасы</x:v>
      </x:c>
    </x:row>
    <x:row r="24" ht="21" customHeight="1">
      <x:c r="A24" s="14" t="n">
        <x:v>20</x:v>
      </x:c>
      <x:c r="B24" t="str">
        <x:v>Project Management сағаты</x:v>
      </x:c>
      <x:c r="C24" s="20" t="n">
        <x:v>30</x:v>
      </x:c>
      <x:c r="D24" t="str">
        <x:v>сағ</x:v>
      </x:c>
      <x:c r="E24" t="str">
        <x:v>Амирдің есептік бағасы</x:v>
      </x:c>
    </x:row>
    <x:row r="25" ht="21" customHeight="1">
      <x:c r="A25" s="14" t="n">
        <x:v>21</x:v>
      </x:c>
      <x:c r="B25" t="str">
        <x:v>QA/интеграция сағаты</x:v>
      </x:c>
      <x:c r="C25" s="20" t="n">
        <x:v>25</x:v>
      </x:c>
      <x:c r="D25" t="str">
        <x:v>сағ</x:v>
      </x:c>
      <x:c r="E25" t="str">
        <x:v>Екі адамның есептік еңбегі</x:v>
      </x:c>
    </x:row>
    <x:row r="26" ht="21" customHeight="1">
      <x:c r="A26" s="14" t="n">
        <x:v>22</x:v>
      </x:c>
      <x:c r="B26" t="str">
        <x:v>MasterDesk деректі көшіру</x:v>
      </x:c>
      <x:c r="C26" s="20" t="n">
        <x:v>50000</x:v>
      </x:c>
      <x:c r="D26" t="str">
        <x:v>₸</x:v>
      </x:c>
      <x:c r="E26" t="str">
        <x:v>Болжам</x:v>
      </x:c>
    </x:row>
    <x:row r="27" ht="21" customHeight="1">
      <x:c r="A27" s="14" t="n">
        <x:v>23</x:v>
      </x:c>
      <x:c r="B27" t="str">
        <x:v>MasterDesk оқыту</x:v>
      </x:c>
      <x:c r="C27" s="20" t="n">
        <x:v>35000</x:v>
      </x:c>
      <x:c r="D27" t="str">
        <x:v>₸</x:v>
      </x:c>
      <x:c r="E27" t="str">
        <x:v>Болжам</x:v>
      </x:c>
    </x:row>
    <x:row r="28" ht="21" customHeight="1">
      <x:c r="A28" s="14" t="n">
        <x:v>24</x:v>
      </x:c>
      <x:c r="B28" t="str">
        <x:v>Ескі тәсілден шығу</x:v>
      </x:c>
      <x:c r="C28" s="20" t="n">
        <x:v>15000</x:v>
      </x:c>
      <x:c r="D28" t="str">
        <x:v>₸</x:v>
      </x:c>
      <x:c r="E28" t="str">
        <x:v>Болжам</x:v>
      </x:c>
    </x:row>
    <x:row r="29" ht="21" customHeight="1">
      <x:c r="A29" s="14" t="n">
        <x:v>25</x:v>
      </x:c>
      <x:c r="B29" t="str">
        <x:v>VPS жоспарлық құны</x:v>
      </x:c>
      <x:c r="C29" s="20" t="n">
        <x:v>9600</x:v>
      </x:c>
      <x:c r="D29" t="str">
        <x:v>₸/ай</x:v>
      </x:c>
      <x:c r="E29" t="str">
        <x:v>NLS тарифтеріне сүйенген бюджеттік жорамал; нақты тариф емес</x:v>
      </x:c>
    </x:row>
    <x:row r="30" ht="21" customHeight="1">
      <x:c r="A30" s="14" t="n">
        <x:v>26</x:v>
      </x:c>
      <x:c r="B30" t="str">
        <x:v>Backup</x:v>
      </x:c>
      <x:c r="C30" s="20" t="n">
        <x:v>3600</x:v>
      </x:c>
      <x:c r="D30" t="str">
        <x:v>₸/ай</x:v>
      </x:c>
      <x:c r="E30" t="str">
        <x:v>Болжам: бөлек көшірмелер</x:v>
      </x:c>
    </x:row>
    <x:row r="31" ht="21" customHeight="1">
      <x:c r="A31" s="14" t="n">
        <x:v>27</x:v>
      </x:c>
      <x:c r="B31" t="str">
        <x:v>Домен</x:v>
      </x:c>
      <x:c r="C31" s="20" t="n">
        <x:v>8000</x:v>
      </x:c>
      <x:c r="D31" t="str">
        <x:v>₸/жыл</x:v>
      </x:c>
      <x:c r="E31" t="str">
        <x:v>Болжам: домен/жаңарту</x:v>
      </x:c>
    </x:row>
    <x:row r="32" ht="21" customHeight="1">
      <x:c r="A32" s="14" t="n">
        <x:v>28</x:v>
      </x:c>
      <x:c r="B32" t="str">
        <x:v>MasterDesk support</x:v>
      </x:c>
      <x:c r="C32" s="20" t="n">
        <x:v>4</x:v>
      </x:c>
      <x:c r="D32" t="str">
        <x:v>сағ/ай</x:v>
      </x:c>
      <x:c r="E32" t="str">
        <x:v>Болжам</x:v>
      </x:c>
    </x:row>
    <x:row r="33" ht="21" customHeight="1">
      <x:c r="A33" s="14" t="n">
        <x:v>29</x:v>
      </x:c>
      <x:c r="B33" t="str">
        <x:v>SaaS алғашқы баптау</x:v>
      </x:c>
      <x:c r="C33" s="20" t="n">
        <x:v>90000</x:v>
      </x:c>
      <x:c r="D33" t="str">
        <x:v>₸</x:v>
      </x:c>
      <x:c r="E33" t="str">
        <x:v>Болжам</x:v>
      </x:c>
    </x:row>
    <x:row r="34" ht="21" customHeight="1">
      <x:c r="A34" s="14" t="n">
        <x:v>30</x:v>
      </x:c>
      <x:c r="B34" t="str">
        <x:v>SaaS деректі көшіру</x:v>
      </x:c>
      <x:c r="C34" s="20" t="n">
        <x:v>60000</x:v>
      </x:c>
      <x:c r="D34" t="str">
        <x:v>₸</x:v>
      </x:c>
      <x:c r="E34" t="str">
        <x:v>Болжам</x:v>
      </x:c>
    </x:row>
    <x:row r="35" ht="21" customHeight="1">
      <x:c r="A35" s="14" t="n">
        <x:v>31</x:v>
      </x:c>
      <x:c r="B35" t="str">
        <x:v>SaaS оқыту</x:v>
      </x:c>
      <x:c r="C35" s="20" t="n">
        <x:v>50000</x:v>
      </x:c>
      <x:c r="D35" t="str">
        <x:v>₸</x:v>
      </x:c>
      <x:c r="E35" t="str">
        <x:v>Болжам</x:v>
      </x:c>
    </x:row>
    <x:row r="36" ht="21" customHeight="1">
      <x:c r="A36" s="14" t="n">
        <x:v>32</x:v>
      </x:c>
      <x:c r="B36" t="str">
        <x:v>SaaS әкімшілік қолдау</x:v>
      </x:c>
      <x:c r="C36" s="20" t="n">
        <x:v>2</x:v>
      </x:c>
      <x:c r="D36" t="str">
        <x:v>сағ/ай</x:v>
      </x:c>
      <x:c r="E36" t="str">
        <x:v>Болжам</x:v>
      </x:c>
    </x:row>
    <x:row r="37" ht="21" customHeight="1">
      <x:c r="A37" s="14" t="n">
        <x:v>33</x:v>
      </x:c>
      <x:c r="B37" t="str">
        <x:v>Excel баптау</x:v>
      </x:c>
      <x:c r="C37" s="20" t="n">
        <x:v>45000</x:v>
      </x:c>
      <x:c r="D37" t="str">
        <x:v>₸</x:v>
      </x:c>
      <x:c r="E37" t="str">
        <x:v>Болжам</x:v>
      </x:c>
    </x:row>
    <x:row r="38" ht="21" customHeight="1">
      <x:c r="A38" s="14" t="n">
        <x:v>34</x:v>
      </x:c>
      <x:c r="B38" t="str">
        <x:v>Excel оқыту</x:v>
      </x:c>
      <x:c r="C38" s="20" t="n">
        <x:v>25000</x:v>
      </x:c>
      <x:c r="D38" t="str">
        <x:v>₸</x:v>
      </x:c>
      <x:c r="E38" t="str">
        <x:v>Болжам</x:v>
      </x:c>
    </x:row>
    <x:row r="39" ht="21" customHeight="1">
      <x:c r="A39" s="14" t="n">
        <x:v>35</x:v>
      </x:c>
      <x:c r="B39" t="str">
        <x:v>Excel ескі тәсілді тоқтату</x:v>
      </x:c>
      <x:c r="C39" s="20" t="n">
        <x:v>10000</x:v>
      </x:c>
      <x:c r="D39" t="str">
        <x:v>₸</x:v>
      </x:c>
      <x:c r="E39" t="str">
        <x:v>Болжам</x:v>
      </x:c>
    </x:row>
    <x:row r="40" ht="21" customHeight="1">
      <x:c r="A40" s="14" t="n">
        <x:v>36</x:v>
      </x:c>
      <x:c r="B40" t="str">
        <x:v>Excel әкімшілік қолдау</x:v>
      </x:c>
      <x:c r="C40" s="20" t="n">
        <x:v>2</x:v>
      </x:c>
      <x:c r="D40" t="str">
        <x:v>сағ/ай</x:v>
      </x:c>
      <x:c r="E40" t="str">
        <x:v>Болжам</x:v>
      </x:c>
    </x:row>
    <x:row r="41" ht="21" customHeight="1">
      <x:c r="A41" s="14"/>
    </x:row>
    <x:row r="42" ht="21" customHeight="1">
      <x:c r="A42" s="14" t="str">
        <x:v>Көк түс — өзгертілетін мән. Бұл мәндер TechPoint-тің нақты статистикасы емес.</x:v>
      </x:c>
    </x:row>
    <x:row r="43" ht="21" customHeight="1">
      <x:c r="A43" s="14"/>
    </x:row>
    <x:row r="44" ht="21" customHeight="1">
      <x:c r="A44" s="14"/>
    </x:row>
    <x:row r="45" ht="21" customHeight="1">
      <x:c r="A45" s="14"/>
    </x:row>
  </x:sheetData>
  <x:mergeCells>
    <x:mergeCell ref="A1:E1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7" hidden="0" customWidth="1"/>
    <x:col min="3" max="3" width="17" hidden="0" customWidth="1"/>
    <x:col min="4" max="4" width="18" hidden="0" customWidth="1"/>
    <x:col min="5" max="5" width="38" hidden="0" customWidth="1"/>
    <x:col min="6" max="6" width="18" hidden="0" customWidth="1"/>
  </x:cols>
  <x:sheetData>
    <x:row r="1" ht="32" customHeight="1">
      <x:c r="A1" s="4" t="str">
        <x:v>MasterDesk | жалпы иелену құны (TCO), теңге</x:v>
      </x:c>
      <x:c r="B1" s="5"/>
      <x:c r="C1" s="5"/>
      <x:c r="D1" s="5"/>
      <x:c r="E1" s="5"/>
      <x:c r="F1" s="5"/>
    </x:row>
    <x:row r="2" ht="25" customHeight="1"/>
    <x:row r="3" ht="25" customHeight="1">
      <x:c r="A3" s="10" t="str">
        <x:v>Шығын бабы</x:v>
      </x:c>
      <x:c r="B3" s="10" t="str">
        <x:v>2026 / t0</x:v>
      </x:c>
      <x:c r="C3" s="10" t="str">
        <x:v>2027</x:v>
      </x:c>
      <x:c r="D3" s="10" t="str">
        <x:v>2028</x:v>
      </x:c>
      <x:c r="E3" s="10" t="str">
        <x:v>2029</x:v>
      </x:c>
      <x:c r="F3" s="10" t="str">
        <x:v>Барлығы</x:v>
      </x:c>
    </x:row>
    <x:row r="4" ht="21" customHeight="1">
      <x:c r="A4" s="14"/>
    </x:row>
    <x:row r="5" ht="21" customHeight="1">
      <x:c r="A5" s="14" t="str">
        <x:v>Frontend</x:v>
      </x:c>
      <x:c r="B5" s="24" t="n">
        <x:f>'Болжамдар'!C22*'Болжамдар'!C21</x:f>
        <x:v>275000</x:v>
      </x:c>
      <x:c r="C5" s="24" t="n">
        <x:v>0</x:v>
      </x:c>
      <x:c r="D5" s="24" t="n">
        <x:v>0</x:v>
      </x:c>
      <x:c r="E5" s="24" t="n">
        <x:v>0</x:v>
      </x:c>
      <x:c r="F5" s="24" t="n">
        <x:f>SUM(B5:E5)</x:f>
        <x:v>275000</x:v>
      </x:c>
    </x:row>
    <x:row r="6" ht="21" customHeight="1">
      <x:c r="A6" s="14" t="str">
        <x:v>Backend</x:v>
      </x:c>
      <x:c r="B6" s="24" t="n">
        <x:f>'Болжамдар'!C23*'Болжамдар'!C21</x:f>
        <x:v>312500</x:v>
      </x:c>
      <x:c r="C6" s="24" t="n">
        <x:v>0</x:v>
      </x:c>
      <x:c r="D6" s="24" t="n">
        <x:v>0</x:v>
      </x:c>
      <x:c r="E6" s="24" t="n">
        <x:v>0</x:v>
      </x:c>
      <x:c r="F6" s="24" t="n">
        <x:f>SUM(B6:E6)</x:f>
        <x:v>312500</x:v>
      </x:c>
    </x:row>
    <x:row r="7" ht="21" customHeight="1">
      <x:c r="A7" s="14" t="str">
        <x:v>Жоба менеджменті</x:v>
      </x:c>
      <x:c r="B7" s="24" t="n">
        <x:f>'Болжамдар'!C24*'Болжамдар'!C21</x:f>
        <x:v>75000</x:v>
      </x:c>
      <x:c r="C7" s="24" t="n">
        <x:v>0</x:v>
      </x:c>
      <x:c r="D7" s="24" t="n">
        <x:v>0</x:v>
      </x:c>
      <x:c r="E7" s="24" t="n">
        <x:v>0</x:v>
      </x:c>
      <x:c r="F7" s="24" t="n">
        <x:f>SUM(B7:E7)</x:f>
        <x:v>75000</x:v>
      </x:c>
    </x:row>
    <x:row r="8" ht="21" customHeight="1">
      <x:c r="A8" s="14" t="str">
        <x:v>QA / интеграция</x:v>
      </x:c>
      <x:c r="B8" s="24" t="n">
        <x:f>'Болжамдар'!C25*'Болжамдар'!C21</x:f>
        <x:v>62500</x:v>
      </x:c>
      <x:c r="C8" s="24" t="n">
        <x:v>0</x:v>
      </x:c>
      <x:c r="D8" s="24" t="n">
        <x:v>0</x:v>
      </x:c>
      <x:c r="E8" s="24" t="n">
        <x:v>0</x:v>
      </x:c>
      <x:c r="F8" s="24" t="n">
        <x:f>SUM(B8:E8)</x:f>
        <x:v>62500</x:v>
      </x:c>
    </x:row>
    <x:row r="9" ht="21" customHeight="1">
      <x:c r="A9" s="14" t="str">
        <x:v>Деректі көшіру</x:v>
      </x:c>
      <x:c r="B9" s="24" t="n">
        <x:f>'Болжамдар'!C26</x:f>
        <x:v>50000</x:v>
      </x:c>
      <x:c r="C9" s="24" t="n">
        <x:v>0</x:v>
      </x:c>
      <x:c r="D9" s="24" t="n">
        <x:v>0</x:v>
      </x:c>
      <x:c r="E9" s="24" t="n">
        <x:v>0</x:v>
      </x:c>
      <x:c r="F9" s="24" t="n">
        <x:f>SUM(B9:E9)</x:f>
        <x:v>50000</x:v>
      </x:c>
    </x:row>
    <x:row r="10" ht="21" customHeight="1">
      <x:c r="A10" s="14" t="str">
        <x:v>Оқыту</x:v>
      </x:c>
      <x:c r="B10" s="24" t="n">
        <x:f>'Болжамдар'!C27</x:f>
        <x:v>35000</x:v>
      </x:c>
      <x:c r="C10" s="24" t="n">
        <x:v>0</x:v>
      </x:c>
      <x:c r="D10" s="24" t="n">
        <x:v>0</x:v>
      </x:c>
      <x:c r="E10" s="24" t="n">
        <x:v>0</x:v>
      </x:c>
      <x:c r="F10" s="24" t="n">
        <x:f>SUM(B10:E10)</x:f>
        <x:v>35000</x:v>
      </x:c>
    </x:row>
    <x:row r="11" ht="21" customHeight="1">
      <x:c r="A11" s="14" t="str">
        <x:v>Ескі тәсілден шығу</x:v>
      </x:c>
      <x:c r="B11" s="24" t="n">
        <x:f>'Болжамдар'!C28</x:f>
        <x:v>15000</x:v>
      </x:c>
      <x:c r="C11" s="24" t="n">
        <x:v>0</x:v>
      </x:c>
      <x:c r="D11" s="24" t="n">
        <x:v>0</x:v>
      </x:c>
      <x:c r="E11" s="24" t="n">
        <x:v>0</x:v>
      </x:c>
      <x:c r="F11" s="24" t="n">
        <x:f>SUM(B11:E11)</x:f>
        <x:v>15000</x:v>
      </x:c>
    </x:row>
    <x:row r="12" ht="21" customHeight="1">
      <x:c r="A12" s="14" t="str">
        <x:v>VPS</x:v>
      </x:c>
      <x:c r="B12" s="24" t="n">
        <x:v>0</x:v>
      </x:c>
      <x:c r="C12" s="24" t="n">
        <x:f>'Болжамдар'!C29*12</x:f>
        <x:v>115200</x:v>
      </x:c>
      <x:c r="D12" s="24" t="n">
        <x:f>'Болжамдар'!C29*12</x:f>
        <x:v>115200</x:v>
      </x:c>
      <x:c r="E12" s="24" t="n">
        <x:f>'Болжамдар'!C29*12</x:f>
        <x:v>115200</x:v>
      </x:c>
      <x:c r="F12" s="24" t="n">
        <x:f>SUM(B12:E12)</x:f>
        <x:v>345600</x:v>
      </x:c>
    </x:row>
    <x:row r="13" ht="21" customHeight="1">
      <x:c r="A13" s="14" t="str">
        <x:v>Резервтік көшіру</x:v>
      </x:c>
      <x:c r="B13" s="24" t="n">
        <x:v>0</x:v>
      </x:c>
      <x:c r="C13" s="24" t="n">
        <x:f>'Болжамдар'!C30*12</x:f>
        <x:v>43200</x:v>
      </x:c>
      <x:c r="D13" s="24" t="n">
        <x:f>'Болжамдар'!C30*12</x:f>
        <x:v>43200</x:v>
      </x:c>
      <x:c r="E13" s="24" t="n">
        <x:f>'Болжамдар'!C30*12</x:f>
        <x:v>43200</x:v>
      </x:c>
      <x:c r="F13" s="24" t="n">
        <x:f>SUM(B13:E13)</x:f>
        <x:v>129600</x:v>
      </x:c>
    </x:row>
    <x:row r="14" ht="21" customHeight="1">
      <x:c r="A14" s="14" t="str">
        <x:v>Домен</x:v>
      </x:c>
      <x:c r="B14" s="24" t="n">
        <x:v>0</x:v>
      </x:c>
      <x:c r="C14" s="24" t="n">
        <x:f>'Болжамдар'!C31</x:f>
        <x:v>8000</x:v>
      </x:c>
      <x:c r="D14" s="24" t="n">
        <x:f>'Болжамдар'!C31</x:f>
        <x:v>8000</x:v>
      </x:c>
      <x:c r="E14" s="24" t="n">
        <x:f>'Болжамдар'!C31</x:f>
        <x:v>8000</x:v>
      </x:c>
      <x:c r="F14" s="24" t="n">
        <x:f>SUM(B14:E14)</x:f>
        <x:v>24000</x:v>
      </x:c>
    </x:row>
    <x:row r="15" ht="21" customHeight="1">
      <x:c r="A15" s="14" t="str">
        <x:v>Техникалық қолдау</x:v>
      </x:c>
      <x:c r="B15" s="24" t="n">
        <x:v>0</x:v>
      </x:c>
      <x:c r="C15" s="24" t="n">
        <x:f>'Болжамдар'!C32*'Болжамдар'!C21*12</x:f>
        <x:v>120000</x:v>
      </x:c>
      <x:c r="D15" s="24" t="n">
        <x:f>'Болжамдар'!C32*'Болжамдар'!C21*12</x:f>
        <x:v>120000</x:v>
      </x:c>
      <x:c r="E15" s="24" t="n">
        <x:f>'Болжамдар'!C32*'Болжамдар'!C21*12</x:f>
        <x:v>120000</x:v>
      </x:c>
      <x:c r="F15" s="24" t="n">
        <x:f>SUM(B15:E15)</x:f>
        <x:v>360000</x:v>
      </x:c>
    </x:row>
    <x:row r="16" ht="21" customHeight="1">
      <x:c r="A16" s="16" t="str">
        <x:v>TCO барлығы</x:v>
      </x:c>
      <x:c r="B16" s="25" t="n">
        <x:f>SUM(B5:B15)</x:f>
        <x:v>825000</x:v>
      </x:c>
      <x:c r="C16" s="25" t="n">
        <x:f>SUM(C5:C15)</x:f>
        <x:v>286400</x:v>
      </x:c>
      <x:c r="D16" s="25" t="n">
        <x:f>SUM(D5:D15)</x:f>
        <x:v>286400</x:v>
      </x:c>
      <x:c r="E16" s="25" t="n">
        <x:f>SUM(E5:E15)</x:f>
        <x:v>286400</x:v>
      </x:c>
      <x:c r="F16" s="25" t="n">
        <x:f>SUM(F5:F15)</x:f>
        <x:v>1684200</x:v>
      </x:c>
    </x:row>
    <x:row r="17" ht="21" customHeight="1">
      <x:c r="A17" s="14"/>
      <x:c r="B17" s="24"/>
      <x:c r="C17" s="24"/>
      <x:c r="D17" s="24"/>
      <x:c r="E17" s="24"/>
      <x:c r="F17" s="24"/>
    </x:row>
    <x:row r="18" ht="21" customHeight="1">
      <x:c r="A18" s="16" t="str">
        <x:v>Пайда / мүмкін болатын әсер</x:v>
      </x:c>
      <x:c r="B18" s="25" t="n">
        <x:v>0</x:v>
      </x:c>
      <x:c r="C18" s="25" t="n">
        <x:f>('Болжамдар'!C6-'Болжамдар'!C9)*'Болжамдар'!C5/60*('Болжамдар'!C10/'Болжамдар'!C11*'Болжамдар'!C12)*'Болжамдар'!C13*12*'Болжамдар'!C14</x:f>
        <x:v>686400</x:v>
      </x:c>
      <x:c r="D18" s="25" t="n">
        <x:f>('Болжамдар'!C6-'Болжамдар'!C9)*'Болжамдар'!C5/60*('Болжамдар'!C10/'Болжамдар'!C11*'Болжамдар'!C12)*'Болжамдар'!C13*12*1</x:f>
        <x:v>915200</x:v>
      </x:c>
      <x:c r="E18" s="25" t="n">
        <x:f>('Болжамдар'!C6-'Болжамдар'!C9)*'Болжамдар'!C5/60*('Болжамдар'!C10/'Болжамдар'!C11*'Болжамдар'!C12)*'Болжамдар'!C13*12*1</x:f>
        <x:v>915200</x:v>
      </x:c>
      <x:c r="F18" s="25" t="n">
        <x:f>SUM(C18:E18)</x:f>
        <x:v>2516800</x:v>
      </x:c>
    </x:row>
    <x:row r="19" ht="21" customHeight="1">
      <x:c r="A19" s="16" t="str">
        <x:v>Таза ағын</x:v>
      </x:c>
      <x:c r="B19" s="25" t="n">
        <x:f>B18-B16</x:f>
        <x:v>-825000</x:v>
      </x:c>
      <x:c r="C19" s="25" t="n">
        <x:f>C18-C16</x:f>
        <x:v>400000</x:v>
      </x:c>
      <x:c r="D19" s="25" t="n">
        <x:f>D18-D16</x:f>
        <x:v>628800</x:v>
      </x:c>
      <x:c r="E19" s="25" t="n">
        <x:f>E18-E16</x:f>
        <x:v>628800</x:v>
      </x:c>
      <x:c r="F19" s="25" t="n">
        <x:f>SUM(B19:E19)</x:f>
        <x:v>832600</x:v>
      </x:c>
    </x:row>
    <x:row r="20" ht="21" customHeight="1">
      <x:c r="A20" s="16" t="str">
        <x:v>Жинақталған ағын</x:v>
      </x:c>
      <x:c r="B20" s="25" t="n">
        <x:f>B19</x:f>
        <x:v>-825000</x:v>
      </x:c>
      <x:c r="C20" s="25" t="n">
        <x:f>B20+C19</x:f>
        <x:v>-425000</x:v>
      </x:c>
      <x:c r="D20" s="25" t="n">
        <x:f>C20+D19</x:f>
        <x:v>203800</x:v>
      </x:c>
      <x:c r="E20" s="25" t="n">
        <x:f>D20+E19</x:f>
        <x:v>832600</x:v>
      </x:c>
      <x:c r="F20" s="25"/>
    </x:row>
    <x:row r="21" ht="21" customHeight="1">
      <x:c r="A21" s="16" t="str">
        <x:v>Дисконтталған ағын</x:v>
      </x:c>
      <x:c r="B21" s="25" t="n">
        <x:f>B19/(1+'Болжамдар'!$C$15)^0</x:f>
        <x:v>-825000</x:v>
      </x:c>
      <x:c r="C21" s="25" t="n">
        <x:f>C19/(1+'Болжамдар'!$C$15)^1</x:f>
        <x:v>347826.0869565218</x:v>
      </x:c>
      <x:c r="D21" s="25" t="n">
        <x:f>D19/(1+'Болжамдар'!$C$15)^2</x:f>
        <x:v>475463.13799621933</x:v>
      </x:c>
      <x:c r="E21" s="25" t="n">
        <x:f>E19/(1+'Болжамдар'!$C$15)^3</x:f>
        <x:v>413446.2069532343</x:v>
      </x:c>
      <x:c r="F21" s="25" t="n">
        <x:f>SUM(B21:E21)</x:f>
        <x:v>411735.4319059754</x:v>
      </x:c>
    </x:row>
    <x:row r="22" ht="21" customHeight="1">
      <x:c r="A22" s="14"/>
    </x:row>
    <x:row r="23" ht="21" customHeight="1">
      <x:c r="A23" s="14"/>
    </x:row>
    <x:row r="24" ht="21" customHeight="1">
      <x:c r="A24" s="14"/>
    </x:row>
    <x:row r="25" ht="21" customHeight="1">
      <x:c r="A25" s="14"/>
    </x:row>
    <x:row r="26" ht="21" customHeight="1">
      <x:c r="A26" s="14"/>
    </x:row>
    <x:row r="27" ht="21" customHeight="1">
      <x:c r="A27" s="14"/>
    </x:row>
    <x:row r="28" ht="21" customHeight="1">
      <x:c r="A28" s="14"/>
    </x:row>
    <x:row r="29" ht="21" customHeight="1">
      <x:c r="A29" s="14"/>
    </x:row>
    <x:row r="30" ht="21" customHeight="1">
      <x:c r="A30" s="14"/>
    </x:row>
    <x:row r="31" ht="21" customHeight="1">
      <x:c r="A31" s="14"/>
    </x:row>
    <x:row r="32" ht="21" customHeight="1">
      <x:c r="A32" s="14"/>
    </x:row>
    <x:row r="33" ht="21" customHeight="1">
      <x:c r="A33" s="14"/>
    </x:row>
    <x:row r="34" ht="21" customHeight="1">
      <x:c r="A34" s="14"/>
    </x:row>
    <x:row r="35" ht="21" customHeight="1">
      <x:c r="A35" s="14"/>
    </x:row>
    <x:row r="36" ht="21" customHeight="1">
      <x:c r="A36" s="14"/>
    </x:row>
    <x:row r="37" ht="21" customHeight="1">
      <x:c r="A37" s="14"/>
    </x:row>
    <x:row r="38" ht="21" customHeight="1">
      <x:c r="A38" s="14"/>
    </x:row>
    <x:row r="39" ht="21" customHeight="1">
      <x:c r="A39" s="14"/>
    </x:row>
    <x:row r="40" ht="21" customHeight="1">
      <x:c r="A40" s="14"/>
    </x:row>
    <x:row r="41" ht="21" customHeight="1">
      <x:c r="A41" s="14"/>
    </x:row>
    <x:row r="42" ht="21" customHeight="1">
      <x:c r="A42" s="14"/>
    </x:row>
    <x:row r="43" ht="21" customHeight="1">
      <x:c r="A43" s="14"/>
    </x:row>
    <x:row r="44" ht="21" customHeight="1">
      <x:c r="A44" s="14"/>
    </x:row>
    <x:row r="45" ht="21" customHeight="1">
      <x:c r="A45" s="14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7" hidden="0" customWidth="1"/>
    <x:col min="3" max="3" width="17" hidden="0" customWidth="1"/>
    <x:col min="4" max="4" width="18" hidden="0" customWidth="1"/>
    <x:col min="5" max="5" width="38" hidden="0" customWidth="1"/>
    <x:col min="6" max="6" width="18" hidden="0" customWidth="1"/>
    <x:col min="7" max="7" width="26" hidden="0" customWidth="1"/>
    <x:col min="8" max="8" width="19" hidden="0" customWidth="1"/>
  </x:cols>
  <x:sheetData>
    <x:row r="1" ht="32" customHeight="1">
      <x:c r="A1" s="4" t="str">
        <x:v>Төрт шешім | 2027–2029, теңге</x:v>
      </x:c>
      <x:c r="B1" s="5"/>
      <x:c r="C1" s="5"/>
      <x:c r="D1" s="5"/>
      <x:c r="E1" s="5"/>
      <x:c r="F1" s="5"/>
    </x:row>
    <x:row r="2" ht="25" customHeight="1"/>
    <x:row r="3" ht="25" customHeight="1">
      <x:c r="A3" s="10" t="str">
        <x:v>Өлшем</x:v>
      </x:c>
      <x:c r="B3" s="10" t="str">
        <x:v>Ештеңе істемеу</x:v>
      </x:c>
      <x:c r="C3" s="10" t="str">
        <x:v>Excel</x:v>
      </x:c>
      <x:c r="D3" s="10" t="str">
        <x:v>RO App</x:v>
      </x:c>
      <x:c r="E3" s="10" t="str">
        <x:v>MasterDesk</x:v>
      </x:c>
      <x:c r="F3" s="10"/>
      <x:c r="G3" s="9" t="str">
        <x:v>Шешім</x:v>
      </x:c>
      <x:c r="H3" s="9" t="str">
        <x:v>NPV, ₸</x:v>
      </x:c>
    </x:row>
    <x:row r="4" ht="21" customHeight="1">
      <x:c r="A4" s="14"/>
      <x:c r="G4" t="str">
        <x:v>Ештеңе істемеу</x:v>
      </x:c>
      <x:c r="H4" s="24" t="n">
        <x:f>B13</x:f>
        <x:v>0</x:v>
      </x:c>
    </x:row>
    <x:row r="5" ht="21" customHeight="1">
      <x:c r="A5" s="14" t="str">
        <x:v>Бастапқы шығын (t0)</x:v>
      </x:c>
      <x:c r="B5" s="24" t="n">
        <x:v>0</x:v>
      </x:c>
      <x:c r="C5" s="24" t="n">
        <x:f>SUM('Болжамдар'!C37:C39)</x:f>
        <x:v>80000</x:v>
      </x:c>
      <x:c r="D5" s="24" t="n">
        <x:f>SUM('Болжамдар'!C33:C35)</x:f>
        <x:v>200000</x:v>
      </x:c>
      <x:c r="E5" s="24" t="n">
        <x:f>TCO!B16</x:f>
        <x:v>825000</x:v>
      </x:c>
      <x:c r="G5" t="str">
        <x:v>Excel</x:v>
      </x:c>
      <x:c r="H5" s="24" t="n">
        <x:f>C13</x:f>
        <x:v>470515.9858634012</x:v>
      </x:c>
    </x:row>
    <x:row r="6" ht="21" customHeight="1">
      <x:c r="A6" s="14" t="str">
        <x:v>Жылдық шығын</x:v>
      </x:c>
      <x:c r="B6" s="24" t="n">
        <x:v>0</x:v>
      </x:c>
      <x:c r="C6" s="24" t="n">
        <x:f>'Болжамдар'!C40*'Болжамдар'!C21*12</x:f>
        <x:v>60000</x:v>
      </x:c>
      <x:c r="D6" s="24" t="n">
        <x:f>('Болжамдар'!C18+MAX(0,'Болжамдар'!C17-'Болжамдар'!C19)*'Болжамдар'!C20)*'Болжамдар'!C16*12+'Болжамдар'!C36*'Болжамдар'!C21*12</x:f>
        <x:v>321957.72000000003</x:v>
      </x:c>
      <x:c r="E6" s="24" t="n">
        <x:f>TCO!C16</x:f>
        <x:v>286400</x:v>
      </x:c>
      <x:c r="G6" t="str">
        <x:v>RO App</x:v>
      </x:c>
      <x:c r="H6" s="24" t="n">
        <x:f>D13</x:f>
        <x:v>611794.40604915</x:v>
      </x:c>
    </x:row>
    <x:row r="7" ht="21" customHeight="1">
      <x:c r="A7" s="34" t="str">
        <x:v>3 жыл TCO</x:v>
      </x:c>
      <x:c r="B7" s="35" t="n">
        <x:f>B5+B6*3</x:f>
        <x:v>0</x:v>
      </x:c>
      <x:c r="C7" s="35" t="n">
        <x:f>C5+C6*3</x:f>
        <x:v>260000</x:v>
      </x:c>
      <x:c r="D7" s="35" t="n">
        <x:f>D5+D6*3</x:f>
        <x:v>1165873.1600000001</x:v>
      </x:c>
      <x:c r="E7" s="35" t="n">
        <x:f>E5+E6*3</x:f>
        <x:v>1684200</x:v>
      </x:c>
      <x:c r="G7" t="str">
        <x:v>MasterDesk</x:v>
      </x:c>
      <x:c r="H7" s="24" t="n">
        <x:f>E13</x:f>
        <x:v>411735.4319059754</x:v>
      </x:c>
    </x:row>
    <x:row r="8" ht="21" customHeight="1">
      <x:c r="A8" s="14" t="str">
        <x:v>Толық жылдағы пайда</x:v>
      </x:c>
      <x:c r="B8" s="24" t="n">
        <x:f>('Болжамдар'!C6-'Болжамдар'!C6)*'Болжамдар'!C5/60*('Болжамдар'!C10/'Болжамдар'!C11*'Болжамдар'!C12)*'Болжамдар'!C13*12</x:f>
        <x:v>0</x:v>
      </x:c>
      <x:c r="C8" s="24" t="n">
        <x:f>('Болжамдар'!C6-'Болжамдар'!C7)*'Болжамдар'!C5/60*('Болжамдар'!C10/'Болжамдар'!C11*'Болжамдар'!C12)*'Болжамдар'!C13*12</x:f>
        <x:v>332800.00000000006</x:v>
      </x:c>
      <x:c r="D8" s="24" t="n">
        <x:f>('Болжамдар'!C6-'Болжамдар'!C8)*'Болжамдар'!C5/60*('Болжамдар'!C10/'Болжамдар'!C11*'Болжамдар'!C12)*'Болжамдар'!C13*12</x:f>
        <x:v>748800.0000000002</x:v>
      </x:c>
      <x:c r="E8" s="24" t="n">
        <x:f>('Болжамдар'!C6-'Болжамдар'!C9)*'Болжамдар'!C5/60*('Болжамдар'!C10/'Болжамдар'!C11*'Болжамдар'!C12)*'Болжамдар'!C13*12</x:f>
        <x:v>915200</x:v>
      </x:c>
    </x:row>
    <x:row r="9" ht="21" customHeight="1">
      <x:c r="A9" s="14" t="str">
        <x:v>1-жылдағы пайда (75%)</x:v>
      </x:c>
      <x:c r="B9" s="24" t="n">
        <x:f>B8*'Болжамдар'!C14</x:f>
        <x:v>0</x:v>
      </x:c>
      <x:c r="C9" s="24" t="n">
        <x:f>C8*'Болжамдар'!C14</x:f>
        <x:v>249600.00000000006</x:v>
      </x:c>
      <x:c r="D9" s="24" t="n">
        <x:f>D8*'Болжамдар'!C14</x:f>
        <x:v>561600.0000000002</x:v>
      </x:c>
      <x:c r="E9" s="24" t="n">
        <x:f>E8*'Болжамдар'!C14</x:f>
        <x:v>686400</x:v>
      </x:c>
    </x:row>
    <x:row r="10" ht="21" customHeight="1">
      <x:c r="A10" s="14" t="str">
        <x:v>3 жылдағы жалпы пайда</x:v>
      </x:c>
      <x:c r="B10" s="24" t="n">
        <x:f>B9+B8*2</x:f>
        <x:v>0</x:v>
      </x:c>
      <x:c r="C10" s="24" t="n">
        <x:f>C9+C8*2</x:f>
        <x:v>915200.0000000002</x:v>
      </x:c>
      <x:c r="D10" s="24" t="n">
        <x:f>D9+D8*2</x:f>
        <x:v>2059200.0000000007</x:v>
      </x:c>
      <x:c r="E10" s="24" t="n">
        <x:f>E9+E8*2</x:f>
        <x:v>2516800</x:v>
      </x:c>
    </x:row>
    <x:row r="11" ht="21" customHeight="1">
      <x:c r="A11" s="14" t="str">
        <x:v>3 жылдағы таза нәтиже</x:v>
      </x:c>
      <x:c r="B11" s="24" t="n">
        <x:f>B10-B7</x:f>
        <x:v>0</x:v>
      </x:c>
      <x:c r="C11" s="24" t="n">
        <x:f>C10-C7</x:f>
        <x:v>655200.0000000002</x:v>
      </x:c>
      <x:c r="D11" s="24" t="n">
        <x:f>D10-D7</x:f>
        <x:v>893326.8400000005</x:v>
      </x:c>
      <x:c r="E11" s="24" t="n">
        <x:f>E10-E7</x:f>
        <x:v>832600</x:v>
      </x:c>
    </x:row>
    <x:row r="12" ht="21" customHeight="1">
      <x:c r="A12" s="14" t="str">
        <x:v>ROI (3 жыл)</x:v>
      </x:c>
      <x:c r="B12" s="28" t="n">
        <x:f>IF(B7=0,0,B11/B7)</x:f>
        <x:v>0</x:v>
      </x:c>
      <x:c r="C12" s="28" t="n">
        <x:f>IF(C7=0,0,C11/C7)</x:f>
        <x:v>2.520000000000001</x:v>
      </x:c>
      <x:c r="D12" s="28" t="n">
        <x:f>IF(D7=0,0,D11/D7)</x:f>
        <x:v>0.7662298701515698</x:v>
      </x:c>
      <x:c r="E12" s="28" t="n">
        <x:f>IF(E7=0,0,E11/E7)</x:f>
        <x:v>0.4943593397458734</x:v>
      </x:c>
    </x:row>
    <x:row r="13" ht="21" customHeight="1">
      <x:c r="A13" s="34" t="str">
        <x:v>NPV (15%)</x:v>
      </x:c>
      <x:c r="B13" s="35" t="n">
        <x:f>-B5+(B9-B6)/(1+'Болжамдар'!$C$15)+(B8-B6)/(1+'Болжамдар'!$C$15)^2+(B8-B6)/(1+'Болжамдар'!$C$15)^3</x:f>
        <x:v>0</x:v>
      </x:c>
      <x:c r="C13" s="35" t="n">
        <x:f>-C5+(C9-C6)/(1+'Болжамдар'!$C$15)+(C8-C6)/(1+'Болжамдар'!$C$15)^2+(C8-C6)/(1+'Болжамдар'!$C$15)^3</x:f>
        <x:v>470515.9858634012</x:v>
      </x:c>
      <x:c r="D13" s="35" t="n">
        <x:f>-D5+(D9-D6)/(1+'Болжамдар'!$C$15)+(D8-D6)/(1+'Болжамдар'!$C$15)^2+(D8-D6)/(1+'Болжамдар'!$C$15)^3</x:f>
        <x:v>611794.40604915</x:v>
      </x:c>
      <x:c r="E13" s="35" t="n">
        <x:f>-E5+(E9-E6)/(1+'Болжамдар'!$C$15)+(E8-E6)/(1+'Болжамдар'!$C$15)^2+(E8-E6)/(1+'Болжамдар'!$C$15)^3</x:f>
        <x:v>411735.4319059754</x:v>
      </x:c>
    </x:row>
    <x:row r="14" ht="21" customHeight="1">
      <x:c r="A14" s="14" t="str">
        <x:v>Дисконтсыз өтелу, жыл</x:v>
      </x:c>
      <x:c r="B14" s="30" t="n">
        <x:f>IF(B5=0,0,IF(B9-B6&gt;=B5,B5/(B9-B6),IF(B8&lt;=B6,-1,1+(B5-(B9-B6))/(B8-B6))))</x:f>
        <x:v>0</x:v>
      </x:c>
      <x:c r="C14" s="30" t="n">
        <x:f>IF(C5=0,0,IF(C9-C6&gt;=C5,C5/(C9-C6),IF(C8&lt;=C6,-1,1+(C5-(C9-C6))/(C8-C6))))</x:f>
        <x:v>0.42194092827004204</x:v>
      </x:c>
      <x:c r="D14" s="30" t="n">
        <x:f>IF(D5=0,0,IF(D9-D6&gt;=D5,D5/(D9-D6),IF(D8&lt;=D6,-1,1+(D5-(D9-D6))/(D8-D6))))</x:f>
        <x:v>0.8345772707553936</x:v>
      </x:c>
      <x:c r="E14" s="30" t="n">
        <x:f>IF(E5=0,0,IF(E9-E6&gt;=E5,E5/(E9-E6),IF(E8&lt;=E6,-1,1+(E5-(E9-E6))/(E8-E6))))</x:f>
        <x:v>1.6758905852417303</x:v>
      </x:c>
    </x:row>
    <x:row r="15" ht="21" customHeight="1">
      <x:c r="A15" s="14" t="str">
        <x:v>Үнемделетін мин / тапсырыс</x:v>
      </x:c>
      <x:c r="B15" t="n">
        <x:f>'Болжамдар'!C6-'Болжамдар'!C6</x:f>
        <x:v>0</x:v>
      </x:c>
      <x:c r="C15" t="n">
        <x:f>'Болжамдар'!C6-'Болжамдар'!C7</x:f>
        <x:v>4</x:v>
      </x:c>
      <x:c r="D15" t="n">
        <x:f>'Болжамдар'!C6-'Болжамдар'!C8</x:f>
        <x:v>9</x:v>
      </x:c>
      <x:c r="E15" t="n">
        <x:f>'Болжамдар'!C6-'Болжамдар'!C9</x:f>
        <x:v>11</x:v>
      </x:c>
    </x:row>
    <x:row r="16" ht="21" customHeight="1">
      <x:c r="A16" s="14" t="str">
        <x:v>Жыл сайын жоғалатын мүмкіндік</x:v>
      </x:c>
      <x:c r="B16" t="n">
        <x:f>$E$8</x:f>
        <x:v>915200</x:v>
      </x:c>
      <x:c r="C16" t="n">
        <x:f>$E$8</x:f>
        <x:v>915200</x:v>
      </x:c>
      <x:c r="D16" t="n">
        <x:f>$E$8</x:f>
        <x:v>915200</x:v>
      </x:c>
      <x:c r="E16" t="n">
        <x:f>$E$8</x:f>
        <x:v>915200</x:v>
      </x:c>
    </x:row>
    <x:row r="17" ht="21" customHeight="1">
      <x:c r="A17" s="14"/>
    </x:row>
    <x:row r="18" ht="21" customHeight="1">
      <x:c r="A18" s="14"/>
    </x:row>
    <x:row r="19" ht="21" customHeight="1">
      <x:c r="A19" s="14" t="str">
        <x:v>Түсіндіру: пайда — босайтын сағаттардың бағасы, кассадағы ақшалай түсім емес.</x:v>
      </x:c>
    </x:row>
    <x:row r="20" ht="21" customHeight="1">
      <x:c r="A20" s="14"/>
    </x:row>
    <x:row r="21" ht="21" customHeight="1">
      <x:c r="A21" s="14"/>
    </x:row>
    <x:row r="22" ht="21" customHeight="1">
      <x:c r="A22" s="14"/>
    </x:row>
    <x:row r="23" ht="21" customHeight="1">
      <x:c r="A23" s="14"/>
    </x:row>
    <x:row r="24" ht="21" customHeight="1">
      <x:c r="A24" s="14"/>
    </x:row>
    <x:row r="25" ht="21" customHeight="1">
      <x:c r="A25" s="14"/>
    </x:row>
    <x:row r="26" ht="21" customHeight="1">
      <x:c r="A26" s="14"/>
    </x:row>
    <x:row r="27" ht="21" customHeight="1">
      <x:c r="A27" s="14"/>
    </x:row>
    <x:row r="28" ht="21" customHeight="1">
      <x:c r="A28" s="14"/>
    </x:row>
    <x:row r="29" ht="21" customHeight="1">
      <x:c r="A29" s="14"/>
    </x:row>
    <x:row r="30" ht="21" customHeight="1">
      <x:c r="A30" s="14"/>
    </x:row>
    <x:row r="31" ht="21" customHeight="1">
      <x:c r="A31" s="14"/>
    </x:row>
    <x:row r="32" ht="21" customHeight="1">
      <x:c r="A32" s="14"/>
    </x:row>
    <x:row r="33" ht="21" customHeight="1">
      <x:c r="A33" s="14"/>
    </x:row>
    <x:row r="34" ht="21" customHeight="1">
      <x:c r="A34" s="14"/>
    </x:row>
    <x:row r="35" ht="21" customHeight="1">
      <x:c r="A35" s="14"/>
    </x:row>
    <x:row r="36" ht="21" customHeight="1">
      <x:c r="A36" s="14"/>
    </x:row>
    <x:row r="37" ht="21" customHeight="1">
      <x:c r="A37" s="14"/>
    </x:row>
    <x:row r="38" ht="21" customHeight="1">
      <x:c r="A38" s="14"/>
    </x:row>
    <x:row r="39" ht="21" customHeight="1">
      <x:c r="A39" s="14"/>
    </x:row>
    <x:row r="40" ht="21" customHeight="1">
      <x:c r="A40" s="14"/>
    </x:row>
    <x:row r="41" ht="21" customHeight="1">
      <x:c r="A41" s="14"/>
    </x:row>
    <x:row r="42" ht="21" customHeight="1">
      <x:c r="A42" s="14"/>
    </x:row>
    <x:row r="43" ht="21" customHeight="1">
      <x:c r="A43" s="14"/>
    </x:row>
    <x:row r="44" ht="21" customHeight="1">
      <x:c r="A44" s="14"/>
    </x:row>
    <x:row r="45" ht="21" customHeight="1">
      <x:c r="A45" s="14"/>
    </x:row>
  </x:sheetData>
  <x:mergeCells>
    <x:mergeCell ref="A1:E1"/>
    <x:mergeCell ref="A19:E19"/>
  </x:mergeCells>
  <x:pageMargins left="0.7" right="0.7" top="0.75" bottom="0.75" header="0.3" footer="0.3"/>
  <x:drawing xmlns:r="http://schemas.openxmlformats.org/officeDocument/2006/relationships" r:id="Rf4513992a5cb4275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8" hidden="0" customWidth="1"/>
    <x:col min="2" max="2" width="17" hidden="0" customWidth="1"/>
    <x:col min="3" max="3" width="17" hidden="0" customWidth="1"/>
    <x:col min="4" max="4" width="18" hidden="0" customWidth="1"/>
    <x:col min="5" max="5" width="38" hidden="0" customWidth="1"/>
    <x:col min="6" max="6" width="18" hidden="0" customWidth="1"/>
  </x:cols>
  <x:sheetData>
    <x:row r="1" ht="32" customHeight="1">
      <x:c r="A1" s="4" t="str">
        <x:v>MasterDesk | тәуекел және тиімділік шегі</x:v>
      </x:c>
      <x:c r="B1" s="5"/>
      <x:c r="C1" s="5"/>
      <x:c r="D1" s="5"/>
      <x:c r="E1" s="5"/>
      <x:c r="F1" s="5"/>
    </x:row>
    <x:row r="2" ht="25" customHeight="1"/>
    <x:row r="3" ht="25" customHeight="1">
      <x:c r="A3" s="10"/>
      <x:c r="B3" s="10"/>
      <x:c r="C3" s="10"/>
      <x:c r="D3" s="10"/>
      <x:c r="E3" s="10"/>
      <x:c r="F3" s="10"/>
    </x:row>
    <x:row r="4" ht="24" customHeight="1">
      <x:c r="A4" s="10" t="str">
        <x:v>Сценарий</x:v>
      </x:c>
      <x:c r="B4" s="9" t="str">
        <x:v>Шығын коэффициенті</x:v>
      </x:c>
      <x:c r="C4" s="9" t="str">
        <x:v>Пайда коэффициенті</x:v>
      </x:c>
      <x:c r="D4" s="9" t="str">
        <x:v>NPV, ₸</x:v>
      </x:c>
      <x:c r="E4" s="9" t="str">
        <x:v>ROI, 3 жыл</x:v>
      </x:c>
    </x:row>
    <x:row r="5" ht="21" customHeight="1">
      <x:c r="A5" s="14" t="str">
        <x:v>Базалық</x:v>
      </x:c>
      <x:c r="B5" t="n">
        <x:v>1</x:v>
      </x:c>
      <x:c r="C5" t="n">
        <x:v>1</x:v>
      </x:c>
      <x:c r="D5" s="24" t="n">
        <x:f>-'Баламалар'!$E$5*B5+('Баламалар'!$E$9*C5-'Баламалар'!$E$6*B5)/(1+'Болжамдар'!$C$15)+('Баламалар'!$E$8*C5-'Баламалар'!$E$6*B5)/(1+'Болжамдар'!$C$15)^2+('Баламалар'!$E$8*C5-'Баламалар'!$E$6*B5)/(1+'Болжамдар'!$C$15)^3</x:f>
        <x:v>411735.4319059754</x:v>
      </x:c>
      <x:c r="E5" s="28" t="n">
        <x:f>('Баламалар'!$E$10*C5-'Баламалар'!$E$7*B5)/('Баламалар'!$E$7*B5)</x:f>
        <x:v>0.4943593397458734</x:v>
      </x:c>
    </x:row>
    <x:row r="6" ht="21" customHeight="1">
      <x:c r="A6" s="14" t="str">
        <x:v>Шығын +30%</x:v>
      </x:c>
      <x:c r="B6" t="n">
        <x:v>1.3</x:v>
      </x:c>
      <x:c r="C6" t="n">
        <x:v>1</x:v>
      </x:c>
      <x:c r="D6" s="24" t="n">
        <x:f>-'Баламалар'!$E$5*B6+('Баламалар'!$E$9*C6-'Баламалар'!$E$6*B6)/(1+'Болжамдар'!$C$15)+('Баламалар'!$E$8*C6-'Баламалар'!$E$6*B6)/(1+'Болжамдар'!$C$15)^2+('Баламалар'!$E$8*C6-'Баламалар'!$E$6*B6)/(1+'Болжамдар'!$C$15)^3</x:f>
        <x:v>-31939.27015698183</x:v>
      </x:c>
      <x:c r="E6" s="28" t="n">
        <x:f>('Баламалар'!$E$10*C6-'Баламалар'!$E$7*B6)/('Баламалар'!$E$7*B6)</x:f>
        <x:v>0.14950718441990263</x:v>
      </x:c>
    </x:row>
    <x:row r="7" ht="21" customHeight="1">
      <x:c r="A7" s="14" t="str">
        <x:v>Пайда −50%</x:v>
      </x:c>
      <x:c r="B7" t="n">
        <x:v>1</x:v>
      </x:c>
      <x:c r="C7" t="n">
        <x:v>0.5</x:v>
      </x:c>
      <x:c r="D7" s="24" t="n">
        <x:f>-'Баламалар'!$E$5*B7+('Баламалар'!$E$9*C7-'Баламалар'!$E$6*B7)/(1+'Болжамдар'!$C$15)+('Баламалар'!$E$8*C7-'Баламалар'!$E$6*B7)/(1+'Болжамдар'!$C$15)^2+('Баламалар'!$E$8*C7-'Баламалар'!$E$6*B7)/(1+'Болжамдар'!$C$15)^3</x:f>
        <x:v>-533590.1208186077</x:v>
      </x:c>
      <x:c r="E7" s="28" t="n">
        <x:f>('Баламалар'!$E$10*C7-'Баламалар'!$E$7*B7)/('Баламалар'!$E$7*B7)</x:f>
        <x:v>-0.2528203301270633</x:v>
      </x:c>
    </x:row>
    <x:row r="8" ht="21" customHeight="1">
      <x:c r="A8" s="14" t="str">
        <x:v>Екеуі қатар</x:v>
      </x:c>
      <x:c r="B8" t="n">
        <x:v>1.3</x:v>
      </x:c>
      <x:c r="C8" t="n">
        <x:v>0.5</x:v>
      </x:c>
      <x:c r="D8" s="24" t="n">
        <x:f>-'Баламалар'!$E$5*B8+('Баламалар'!$E$9*C8-'Баламалар'!$E$6*B8)/(1+'Болжамдар'!$C$15)+('Баламалар'!$E$8*C8-'Баламалар'!$E$6*B8)/(1+'Болжамдар'!$C$15)^2+('Баламалар'!$E$8*C8-'Баламалар'!$E$6*B8)/(1+'Болжамдар'!$C$15)^3</x:f>
        <x:v>-977264.822881565</x:v>
      </x:c>
      <x:c r="E8" s="28" t="n">
        <x:f>('Баламалар'!$E$10*C8-'Баламалар'!$E$7*B8)/('Баламалар'!$E$7*B8)</x:f>
        <x:v>-0.4252464077900487</x:v>
      </x:c>
    </x:row>
    <x:row r="9" ht="21" customHeight="1">
      <x:c r="A9" s="14"/>
    </x:row>
    <x:row r="10" ht="21" customHeight="1">
      <x:c r="A10" s="14"/>
    </x:row>
    <x:row r="11" ht="21" customHeight="1">
      <x:c r="A11" s="14" t="str">
        <x:v>Шығын PV коэффициенті</x:v>
      </x:c>
      <x:c r="B11" t="n">
        <x:f>1/(1+'Болжамдар'!C15)+1/(1+'Болжамдар'!C15)^2+1/(1+'Болжамдар'!C15)^3</x:f>
        <x:v>2.2832251171200793</x:v>
      </x:c>
    </x:row>
    <x:row r="12" ht="21" customHeight="1">
      <x:c r="A12" s="14" t="str">
        <x:v>Пайда PV коэффициенті</x:v>
      </x:c>
      <x:c r="B12" t="n">
        <x:f>'Болжамдар'!C14/(1+'Болжамдар'!C15)+1/(1+'Болжамдар'!C15)^2+1/(1+'Болжамдар'!C15)^3</x:f>
        <x:v>2.065833812772253</x:v>
      </x:c>
    </x:row>
    <x:row r="13" ht="21" customHeight="1">
      <x:c r="A13" s="14"/>
    </x:row>
    <x:row r="14" ht="21" customHeight="1">
      <x:c r="A14" s="14" t="str">
        <x:v>NPV=0: толық жылдық пайда, ₸</x:v>
      </x:c>
      <x:c r="B14" t="n">
        <x:f>('Баламалар'!E5+'Баламалар'!E6*B11)/B12</x:f>
        <x:v>715892.8585637556</x:v>
      </x:c>
    </x:row>
    <x:row r="15" ht="21" customHeight="1">
      <x:c r="A15" s="14" t="str">
        <x:v>NPV=0: үнем минут / тапсырыс</x:v>
      </x:c>
      <x:c r="B15" t="n">
        <x:f>B14/('Болжамдар'!C5/60*('Болжамдар'!C10/'Болжамдар'!C11*'Болжамдар'!C12)*'Болжамдар'!C13*12)</x:f>
        <x:v>8.604481473122062</x:v>
      </x:c>
    </x:row>
    <x:row r="16" ht="21" customHeight="1">
      <x:c r="A16" s="14"/>
    </x:row>
    <x:row r="17" ht="21" customHeight="1">
      <x:c r="A17" s="14" t="str">
        <x:v>Шығындар +30% кезінде және әсер жартылай болса NPV теріс шығатынын қараңыз.</x:v>
      </x:c>
    </x:row>
    <x:row r="18" ht="21" customHeight="1">
      <x:c r="A18" s="14"/>
    </x:row>
    <x:row r="19" ht="21" customHeight="1">
      <x:c r="A19" s="14"/>
    </x:row>
    <x:row r="20" ht="21" customHeight="1">
      <x:c r="A20" s="14"/>
    </x:row>
    <x:row r="21" ht="21" customHeight="1">
      <x:c r="A21" s="14"/>
    </x:row>
    <x:row r="22" ht="21" customHeight="1">
      <x:c r="A22" s="14"/>
    </x:row>
    <x:row r="23" ht="21" customHeight="1">
      <x:c r="A23" s="14"/>
    </x:row>
    <x:row r="24" ht="21" customHeight="1">
      <x:c r="A24" s="14"/>
    </x:row>
    <x:row r="25" ht="21" customHeight="1">
      <x:c r="A25" s="14"/>
    </x:row>
    <x:row r="26" ht="21" customHeight="1">
      <x:c r="A26" s="14"/>
    </x:row>
    <x:row r="27" ht="21" customHeight="1">
      <x:c r="A27" s="14"/>
    </x:row>
    <x:row r="28" ht="21" customHeight="1">
      <x:c r="A28" s="14"/>
    </x:row>
    <x:row r="29" ht="21" customHeight="1">
      <x:c r="A29" s="14"/>
    </x:row>
    <x:row r="30" ht="21" customHeight="1">
      <x:c r="A30" s="14"/>
    </x:row>
    <x:row r="31" ht="21" customHeight="1">
      <x:c r="A31" s="14"/>
    </x:row>
    <x:row r="32" ht="21" customHeight="1">
      <x:c r="A32" s="14"/>
    </x:row>
    <x:row r="33" ht="21" customHeight="1">
      <x:c r="A33" s="14"/>
    </x:row>
    <x:row r="34" ht="21" customHeight="1">
      <x:c r="A34" s="14"/>
    </x:row>
    <x:row r="35" ht="21" customHeight="1">
      <x:c r="A35" s="14"/>
    </x:row>
    <x:row r="36" ht="21" customHeight="1">
      <x:c r="A36" s="14"/>
    </x:row>
    <x:row r="37" ht="21" customHeight="1">
      <x:c r="A37" s="14"/>
    </x:row>
    <x:row r="38" ht="21" customHeight="1">
      <x:c r="A38" s="14"/>
    </x:row>
    <x:row r="39" ht="21" customHeight="1">
      <x:c r="A39" s="14"/>
    </x:row>
    <x:row r="40" ht="21" customHeight="1">
      <x:c r="A40" s="14"/>
    </x:row>
    <x:row r="41" ht="21" customHeight="1">
      <x:c r="A41" s="14"/>
    </x:row>
    <x:row r="42" ht="21" customHeight="1">
      <x:c r="A42" s="14"/>
    </x:row>
    <x:row r="43" ht="21" customHeight="1">
      <x:c r="A43" s="14"/>
    </x:row>
    <x:row r="44" ht="21" customHeight="1">
      <x:c r="A44" s="14"/>
    </x:row>
    <x:row r="45" ht="21" customHeight="1">
      <x:c r="A45" s="14"/>
    </x:row>
  </x:sheetData>
  <x:mergeCells>
    <x:mergeCell ref="A1:E1"/>
    <x:mergeCell ref="A17:E17"/>
  </x:mergeCells>
  <x:conditionalFormatting sqref="D5:D8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9" hidden="0" customWidth="1"/>
    <x:col min="2" max="2" width="29" hidden="0" customWidth="1"/>
    <x:col min="3" max="3" width="17" hidden="0" customWidth="1"/>
    <x:col min="4" max="4" width="72" hidden="0" customWidth="1"/>
    <x:col min="5" max="5" width="38" hidden="0" customWidth="1"/>
    <x:col min="6" max="6" width="18" hidden="0" customWidth="1"/>
  </x:cols>
  <x:sheetData>
    <x:row r="1" ht="32" customHeight="1">
      <x:c r="A1" s="4" t="str">
        <x:v>Тексеру журнал: нарық дерегі және жорамалдар</x:v>
      </x:c>
      <x:c r="B1" s="5"/>
      <x:c r="C1" s="5"/>
      <x:c r="D1" s="5"/>
      <x:c r="E1" s="5"/>
      <x:c r="F1" s="5"/>
    </x:row>
    <x:row r="2" ht="25" customHeight="1"/>
    <x:row r="3" ht="25" customHeight="1">
      <x:c r="A3" s="10" t="str">
        <x:v>Параметр</x:v>
      </x:c>
      <x:c r="B3" s="10" t="str">
        <x:v>Статус</x:v>
      </x:c>
      <x:c r="C3" s="10" t="str">
        <x:v>Күні</x:v>
      </x:c>
      <x:c r="D3" s="10" t="str">
        <x:v>URL / негіздеме</x:v>
      </x:c>
      <x:c r="E3" s="10"/>
      <x:c r="F3" s="10"/>
    </x:row>
    <x:row r="4" ht="21" customHeight="1">
      <x:c r="A4" s="14" t="str">
        <x:v>EUR/KZT 507,67</x:v>
      </x:c>
      <x:c r="B4" t="str">
        <x:v>Ресми дерек</x:v>
      </x:c>
      <x:c r="C4" t="str">
        <x:v>20.10.2026</x:v>
      </x:c>
      <x:c r="D4" s="14" t="str">
        <x:v>https://nationalbank.kz/ru/exchangerates/ezhednevnye-oficialnye-rynochnye-kursy-valyut</x:v>
      </x:c>
    </x:row>
    <x:row r="5" ht="21" customHeight="1">
      <x:c r="A5" s="14" t="str">
        <x:v>RO App: 29€, +7€/қызметкер</x:v>
      </x:c>
      <x:c r="B5" t="str">
        <x:v>Жария баға</x:v>
      </x:c>
      <x:c r="C5" t="str">
        <x:v>20.10.2026</x:v>
      </x:c>
      <x:c r="D5" s="14" t="str">
        <x:v>https://roapp.io/ru/pricing/</x:v>
      </x:c>
    </x:row>
    <x:row r="6" ht="21" customHeight="1">
      <x:c r="A6" s="14" t="str">
        <x:v>VPS тариф диапазоны 5 880–15 480 ₸</x:v>
      </x:c>
      <x:c r="B6" t="str">
        <x:v>Жария баға</x:v>
      </x:c>
      <x:c r="C6" t="str">
        <x:v>20.10.2026</x:v>
      </x:c>
      <x:c r="D6" s="14" t="str">
        <x:v>https://server.nls.kz/</x:v>
      </x:c>
    </x:row>
    <x:row r="7" ht="21" customHeight="1">
      <x:c r="A7" s="14" t="str">
        <x:v>Айлық 300 000 ₸</x:v>
      </x:c>
      <x:c r="B7" t="str">
        <x:v>Жорамал / нарық бағдары</x:v>
      </x:c>
      <x:c r="C7" t="str">
        <x:v>20.10.2026</x:v>
      </x:c>
      <x:c r="D7" s="14" t="str">
        <x:v>https://astana.hh.kz/vacancies/administrator-servisnogo-tsentra/polniy_den</x:v>
      </x:c>
    </x:row>
    <x:row r="8" ht="21" customHeight="1">
      <x:c r="A8" s="14" t="str">
        <x:v>Даму құны 2 500 ₸/сағат</x:v>
      </x:c>
      <x:c r="B8" t="str">
        <x:v>Жорамал / нарық бағдары</x:v>
      </x:c>
      <x:c r="C8" t="str">
        <x:v>20.10.2026</x:v>
      </x:c>
      <x:c r="D8" s="14" t="str">
        <x:v>https://workspace.ru/astana/mobile/</x:v>
      </x:c>
    </x:row>
    <x:row r="9" ht="21" customHeight="1">
      <x:c r="A9" s="14" t="str">
        <x:v>Дисконт 15%</x:v>
      </x:c>
      <x:c r="B9" t="str">
        <x:v>Жорамал / депозиттік бағдар</x:v>
      </x:c>
      <x:c r="C9" t="str">
        <x:v>20.10.2026</x:v>
      </x:c>
      <x:c r="D9" s="14" t="str">
        <x:v>https://new.kdif.kz/press-tsentr/press-relizy/6-v-oktyabre-maksimalnye-stavki-po-depozitam-otrazyat-tendentsii-na-rynke/?special_version=Y</x:v>
      </x:c>
    </x:row>
    <x:row r="10" ht="21" customHeight="1">
      <x:c r="A10" s="14" t="str">
        <x:v>260 тапсырыс/ай</x:v>
      </x:c>
      <x:c r="B10" t="str">
        <x:v>TechPoint-те расталмаған</x:v>
      </x:c>
      <x:c r="C10" t="str">
        <x:v>20.10.2026</x:v>
      </x:c>
      <x:c r="D10" s="14" t="str">
        <x:v>10 тапсырыс/күн × 26 жұмыс күні</x:v>
      </x:c>
    </x:row>
    <x:row r="11" ht="21" customHeight="1">
      <x:c r="A11" s="14" t="str">
        <x:v>18→7 минут</x:v>
      </x:c>
      <x:c r="B11" t="str">
        <x:v>TechPoint-те расталмаған</x:v>
      </x:c>
      <x:c r="C11" t="str">
        <x:v>20.10.2026</x:v>
      </x:c>
      <x:c r="D11" s="14" t="str">
        <x:v>Өлшеу және 30 күндік пилот қажет</x:v>
      </x:c>
    </x:row>
    <x:row r="12" ht="21" customHeight="1">
      <x:c r="A12" s="14" t="str">
        <x:v>80% қайта пайдалану және 75% first-year</x:v>
      </x:c>
      <x:c r="B12" t="str">
        <x:v>Сценарийлік жорамал</x:v>
      </x:c>
      <x:c r="C12" t="str">
        <x:v>20.10.2026</x:v>
      </x:c>
      <x:c r="D12" s="14" t="str">
        <x:v>Өнімді уақытты бағалау; нақты ақшалай үнем емес</x:v>
      </x:c>
    </x:row>
    <x:row r="13" ht="21" customHeight="1">
      <x:c r="A13" s="14" t="str">
        <x:v>Даму сағаттары 110+125+30+25</x:v>
      </x:c>
      <x:c r="B13" t="str">
        <x:v>Команда бағасы / жорамал</x:v>
      </x:c>
      <x:c r="C13" t="str">
        <x:v>20.10.2026</x:v>
      </x:c>
      <x:c r="D13" s="14" t="str">
        <x:v>Жұмыс басталған соң нақты time tracking</x:v>
      </x:c>
    </x:row>
    <x:row r="14" ht="21" customHeight="1">
      <x:c r="A14" s="14" t="str">
        <x:v>VPS 9 600 ₸, backup 3 600 ₸</x:v>
      </x:c>
      <x:c r="B14" t="str">
        <x:v>Жорамал</x:v>
      </x:c>
      <x:c r="C14" t="str">
        <x:v>20.10.2026</x:v>
      </x:c>
      <x:c r="D14" s="14" t="str">
        <x:v>https://server.nls.kz/</x:v>
      </x:c>
    </x:row>
    <x:row r="15" ht="21" customHeight="1">
      <x:c r="A15" s="14" t="str">
        <x:v>Қаржы кезеңі 3 жыл</x:v>
      </x:c>
      <x:c r="B15" t="str">
        <x:v>Тапсырыс берушімен келісілмеген</x:v>
      </x:c>
      <x:c r="C15" t="str">
        <x:v>20.10.2026</x:v>
      </x:c>
      <x:c r="D15" s="14" t="str">
        <x:v>2027–2029; кейін нақтылау</x:v>
      </x:c>
    </x:row>
    <x:row r="16" ht="21" customHeight="1">
      <x:c r="A16" s="14"/>
    </x:row>
    <x:row r="17" ht="21" customHeight="1">
      <x:c r="A17" s="14"/>
    </x:row>
    <x:row r="18" ht="21" customHeight="1">
      <x:c r="A18" s="14"/>
    </x:row>
    <x:row r="19" ht="21" customHeight="1">
      <x:c r="A19" s="14"/>
    </x:row>
    <x:row r="20" ht="21" customHeight="1">
      <x:c r="A20" s="14"/>
    </x:row>
    <x:row r="21" ht="21" customHeight="1">
      <x:c r="A21" s="14"/>
    </x:row>
    <x:row r="22" ht="21" customHeight="1">
      <x:c r="A22" s="14"/>
    </x:row>
    <x:row r="23" ht="21" customHeight="1">
      <x:c r="A23" s="14"/>
    </x:row>
    <x:row r="24" ht="21" customHeight="1">
      <x:c r="A24" s="14"/>
    </x:row>
    <x:row r="25" ht="21" customHeight="1">
      <x:c r="A25" s="14"/>
    </x:row>
    <x:row r="26" ht="21" customHeight="1">
      <x:c r="A26" s="14"/>
    </x:row>
    <x:row r="27" ht="21" customHeight="1">
      <x:c r="A27" s="14"/>
    </x:row>
    <x:row r="28" ht="21" customHeight="1">
      <x:c r="A28" s="14"/>
    </x:row>
    <x:row r="29" ht="21" customHeight="1">
      <x:c r="A29" s="14"/>
    </x:row>
    <x:row r="30" ht="21" customHeight="1">
      <x:c r="A30" s="14"/>
    </x:row>
    <x:row r="31" ht="21" customHeight="1">
      <x:c r="A31" s="14"/>
    </x:row>
    <x:row r="32" ht="21" customHeight="1">
      <x:c r="A32" s="14"/>
    </x:row>
    <x:row r="33" ht="21" customHeight="1">
      <x:c r="A33" s="14"/>
    </x:row>
    <x:row r="34" ht="21" customHeight="1">
      <x:c r="A34" s="14"/>
    </x:row>
    <x:row r="35" ht="21" customHeight="1">
      <x:c r="A35" s="14"/>
    </x:row>
    <x:row r="36" ht="21" customHeight="1">
      <x:c r="A36" s="14"/>
    </x:row>
    <x:row r="37" ht="21" customHeight="1">
      <x:c r="A37" s="14"/>
    </x:row>
    <x:row r="38" ht="21" customHeight="1">
      <x:c r="A38" s="14"/>
    </x:row>
    <x:row r="39" ht="21" customHeight="1">
      <x:c r="A39" s="14"/>
    </x:row>
    <x:row r="40" ht="21" customHeight="1">
      <x:c r="A40" s="14"/>
    </x:row>
    <x:row r="41" ht="21" customHeight="1">
      <x:c r="A41" s="14"/>
    </x:row>
    <x:row r="42" ht="21" customHeight="1">
      <x:c r="A42" s="14"/>
    </x:row>
    <x:row r="43" ht="21" customHeight="1">
      <x:c r="A43" s="14"/>
    </x:row>
    <x:row r="44" ht="21" customHeight="1">
      <x:c r="A44" s="14"/>
    </x:row>
    <x:row r="45" ht="21" customHeight="1">
      <x:c r="A45" s="14"/>
    </x:row>
  </x:sheetData>
  <x:mergeCells>
    <x:mergeCell ref="A1:D1"/>
  </x:mergeCells>
  <x:pageMargins left="0.7" right="0.7" top="0.75" bottom="0.75" header="0.3" footer="0.3"/>
</x:worksheet>
</file>